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pread Sheets\"/>
    </mc:Choice>
  </mc:AlternateContent>
  <xr:revisionPtr revIDLastSave="0" documentId="13_ncr:1_{44067C00-E852-4086-8C1C-DEEFAAAA6D9F}" xr6:coauthVersionLast="47" xr6:coauthVersionMax="47" xr10:uidLastSave="{00000000-0000-0000-0000-000000000000}"/>
  <bookViews>
    <workbookView xWindow="-120" yWindow="-120" windowWidth="29040" windowHeight="15840" activeTab="3" xr2:uid="{C3BD97BF-7689-4957-9786-18E27491DA3A}"/>
  </bookViews>
  <sheets>
    <sheet name="Component 1" sheetId="17" r:id="rId1"/>
    <sheet name="Component 2" sheetId="21" r:id="rId2"/>
    <sheet name="Component 3" sheetId="22" r:id="rId3"/>
    <sheet name="Component 4" sheetId="2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3" l="1"/>
  <c r="J3" i="23"/>
  <c r="Q10" i="23" s="1"/>
  <c r="Q11" i="23" s="1"/>
  <c r="J4" i="22"/>
  <c r="J3" i="22"/>
  <c r="Q10" i="22" s="1"/>
  <c r="Q11" i="22" s="1"/>
  <c r="J4" i="21"/>
  <c r="J3" i="21"/>
  <c r="Q10" i="21" s="1"/>
  <c r="Q11" i="21" s="1"/>
  <c r="J4" i="17"/>
  <c r="J3" i="17"/>
  <c r="Q10" i="17" s="1"/>
  <c r="Q8" i="23" l="1"/>
  <c r="Q9" i="23" s="1"/>
  <c r="Q8" i="22"/>
  <c r="Q9" i="22" s="1"/>
  <c r="Q8" i="21"/>
  <c r="Q9" i="21" s="1"/>
  <c r="Q11" i="17"/>
  <c r="Q8" i="17"/>
  <c r="Q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Aiden Azarnoush</author>
  </authors>
  <commentList>
    <comment ref="B2" authorId="0" shapeId="0" xr:uid="{AD9DE9C1-5552-4CE1-A979-9FDB2E434117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References</t>
        </r>
      </text>
    </comment>
    <comment ref="G2" authorId="0" shapeId="0" xr:uid="{23FE5A59-9279-495C-9701-82B8D1149088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Notes</t>
        </r>
      </text>
    </comment>
    <comment ref="L2" authorId="0" shapeId="0" xr:uid="{F8428240-8C09-4945-91D6-8040934E3012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Menu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Aiden Azarnoush</author>
  </authors>
  <commentList>
    <comment ref="B2" authorId="0" shapeId="0" xr:uid="{E9F65BAE-3505-4144-824A-B417AABA0758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References</t>
        </r>
      </text>
    </comment>
    <comment ref="G2" authorId="0" shapeId="0" xr:uid="{9BD17169-F09D-45EB-B0AD-6468BC2E943A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Notes</t>
        </r>
      </text>
    </comment>
    <comment ref="L2" authorId="0" shapeId="0" xr:uid="{A5B54142-6CF6-489E-B88A-61D8D2168222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Menu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Aiden Azarnoush</author>
  </authors>
  <commentList>
    <comment ref="B2" authorId="0" shapeId="0" xr:uid="{A75A4CAE-DE7C-4A5D-ABBE-4CF2112746F5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References</t>
        </r>
      </text>
    </comment>
    <comment ref="G2" authorId="0" shapeId="0" xr:uid="{934E204F-988F-43BD-8DDD-4641582EC979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Notes</t>
        </r>
      </text>
    </comment>
    <comment ref="L2" authorId="0" shapeId="0" xr:uid="{07D1BC4B-E92A-427D-8720-76B2BDC2232F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Menu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Aiden Azarnoush</author>
  </authors>
  <commentList>
    <comment ref="B2" authorId="0" shapeId="0" xr:uid="{70CED45C-3BDA-457C-AE7B-EDF331957BC6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References</t>
        </r>
      </text>
    </comment>
    <comment ref="G2" authorId="0" shapeId="0" xr:uid="{C226CBAA-E857-4662-B0A7-1C1EF6C28AD1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Notes</t>
        </r>
      </text>
    </comment>
    <comment ref="L2" authorId="0" shapeId="0" xr:uid="{EA3DE6CE-2504-4F5F-95B1-5BA39871F7B6}">
      <text>
        <r>
          <rPr>
            <b/>
            <sz val="9"/>
            <color indexed="81"/>
            <rFont val="Tahoma"/>
            <family val="2"/>
          </rPr>
          <t>Aiden Azarnoush:</t>
        </r>
        <r>
          <rPr>
            <sz val="9"/>
            <color indexed="81"/>
            <rFont val="Tahoma"/>
            <family val="2"/>
          </rPr>
          <t xml:space="preserve">
Menu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5BF6C-25F4-42C1-80D5-4069F5C7A23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<sst xmlns="http://schemas.openxmlformats.org/spreadsheetml/2006/main" count="232" uniqueCount="41">
  <si>
    <t>B</t>
  </si>
  <si>
    <t>C</t>
  </si>
  <si>
    <t>h</t>
  </si>
  <si>
    <t>r</t>
  </si>
  <si>
    <t>L</t>
  </si>
  <si>
    <t>Z limit</t>
  </si>
  <si>
    <t>resistors, capacitors, diods</t>
  </si>
  <si>
    <t>standard DIP</t>
  </si>
  <si>
    <t>DIP with side-brazed lead wires</t>
  </si>
  <si>
    <t>PGA</t>
  </si>
  <si>
    <t>LCCC</t>
  </si>
  <si>
    <t>BGA</t>
  </si>
  <si>
    <t>Fine-pitch surface mounted axial leads</t>
  </si>
  <si>
    <t>not sure</t>
  </si>
  <si>
    <t>Surface-mounted chip carriers with J/ gull wing wires</t>
  </si>
  <si>
    <t>center</t>
  </si>
  <si>
    <t>near edge</t>
  </si>
  <si>
    <t>near corner</t>
  </si>
  <si>
    <t>unit</t>
  </si>
  <si>
    <t>in</t>
  </si>
  <si>
    <t>-</t>
  </si>
  <si>
    <t>Value</t>
  </si>
  <si>
    <t xml:space="preserve">Length of PCB edge parallel to the component </t>
  </si>
  <si>
    <t>PCB thickness</t>
  </si>
  <si>
    <t>Component Constant</t>
  </si>
  <si>
    <t>mm</t>
  </si>
  <si>
    <t>Z peak</t>
  </si>
  <si>
    <t>Relative displacement limit 
for random vibration</t>
  </si>
  <si>
    <t>Relative displacement limit 
for shock</t>
  </si>
  <si>
    <t>output</t>
  </si>
  <si>
    <t>input</t>
  </si>
  <si>
    <t>Finding C and r</t>
  </si>
  <si>
    <t>Component</t>
  </si>
  <si>
    <t>[M]</t>
  </si>
  <si>
    <t>Parameter</t>
  </si>
  <si>
    <t>[R]</t>
  </si>
  <si>
    <t>[N]</t>
  </si>
  <si>
    <t xml:space="preserve">Length of the component </t>
  </si>
  <si>
    <t>Relative position factor</t>
  </si>
  <si>
    <t>Definition</t>
  </si>
  <si>
    <t xml:space="preserve">Any componentt with two prallel rows of wires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</si>
</sst>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Wingdings 3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darkUp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5" borderId="0" applyNumberFormat="0" applyBorder="0" applyAlignment="0" applyProtection="0"/>
    <xf numFmtId="0" fontId="7" fillId="7" borderId="0" applyNumberFormat="0" applyBorder="0" applyAlignment="0" applyProtection="0"/>
  </cellStyleXfs>
  <cellXfs count="57">
    <xf numFmtId="0" fontId="0" fillId="0" borderId="0" xfId="0"/>
    <xf numFmtId="11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Fill="1"/>
    <xf numFmtId="164" fontId="0" fillId="0" borderId="0" xfId="0" applyNumberFormat="1" applyBorder="1" applyAlignment="1">
      <alignment horizontal="center" vertical="center"/>
    </xf>
    <xf numFmtId="17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1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11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7" borderId="1" xfId="2" applyBorder="1" applyAlignment="1">
      <alignment horizontal="center"/>
    </xf>
    <xf numFmtId="0" fontId="0" fillId="2" borderId="5" xfId="0" applyFill="1" applyBorder="1" applyAlignment="1">
      <alignment horizontal="center" vertical="center" textRotation="90"/>
    </xf>
    <xf numFmtId="0" fontId="0" fillId="2" borderId="6" xfId="0" applyFill="1" applyBorder="1" applyAlignment="1">
      <alignment horizontal="center" vertical="center" textRotation="90"/>
    </xf>
    <xf numFmtId="0" fontId="0" fillId="3" borderId="7" xfId="0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1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1" fontId="0" fillId="2" borderId="16" xfId="0" applyNumberFormat="1" applyFill="1" applyBorder="1" applyAlignment="1">
      <alignment horizontal="center"/>
    </xf>
    <xf numFmtId="11" fontId="0" fillId="3" borderId="15" xfId="0" applyNumberFormat="1" applyFill="1" applyBorder="1" applyAlignment="1">
      <alignment horizontal="center"/>
    </xf>
    <xf numFmtId="11" fontId="0" fillId="3" borderId="2" xfId="0" applyNumberFormat="1" applyFill="1" applyBorder="1" applyAlignment="1">
      <alignment horizontal="center"/>
    </xf>
    <xf numFmtId="11" fontId="0" fillId="6" borderId="2" xfId="0" applyNumberFormat="1" applyFill="1" applyBorder="1" applyAlignment="1">
      <alignment horizontal="center"/>
    </xf>
    <xf numFmtId="11" fontId="0" fillId="6" borderId="16" xfId="0" applyNumberForma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1" fontId="8" fillId="0" borderId="9" xfId="0" applyNumberFormat="1" applyFont="1" applyBorder="1" applyAlignment="1">
      <alignment horizontal="center" vertical="center"/>
    </xf>
    <xf numFmtId="11" fontId="8" fillId="0" borderId="10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0" fillId="8" borderId="22" xfId="0" applyFill="1" applyBorder="1" applyAlignment="1"/>
    <xf numFmtId="0" fontId="0" fillId="0" borderId="4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47625</xdr:rowOff>
    </xdr:from>
    <xdr:to>
      <xdr:col>5</xdr:col>
      <xdr:colOff>1257300</xdr:colOff>
      <xdr:row>106</xdr:row>
      <xdr:rowOff>76200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B1DA1AA-DEE2-44EE-BDEC-9531BC1768E7}"/>
            </a:ext>
          </a:extLst>
        </xdr:cNvPr>
        <xdr:cNvGrpSpPr/>
      </xdr:nvGrpSpPr>
      <xdr:grpSpPr>
        <a:xfrm>
          <a:off x="247650" y="247650"/>
          <a:ext cx="0" cy="20059650"/>
          <a:chOff x="12697589" y="86913"/>
          <a:chExt cx="4399914" cy="1917542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AC7EC081-160E-44F8-902A-FADFC363CAE4}"/>
              </a:ext>
            </a:extLst>
          </xdr:cNvPr>
          <xdr:cNvGrpSpPr/>
        </xdr:nvGrpSpPr>
        <xdr:grpSpPr>
          <a:xfrm>
            <a:off x="12697589" y="86913"/>
            <a:ext cx="4399914" cy="19175429"/>
            <a:chOff x="12697589" y="86913"/>
            <a:chExt cx="4399914" cy="19175429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C8F70E41-604B-4869-8102-801B7F7725E7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𝑙𝑖𝑚𝑖𝑡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0.00022 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𝑉𝑖𝑏𝑟𝑎𝑡𝑖𝑜𝑛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</m:oMathPara>
                  </a14:m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𝑝𝑒𝑎𝑘</m:t>
                            </m:r>
                          </m:sub>
                        </m:sSub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0.00132 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𝑆h𝑜𝑐𝑘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 </m:t>
                        </m:r>
                      </m:oMath>
                    </m:oMathPara>
                  </a14:m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0.75≤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≤2.25</m:t>
                        </m:r>
                      </m:oMath>
                    </m:oMathPara>
                  </a14:m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Choice>
          <mc:Fallback xmlns=""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C8F70E41-604B-4869-8102-801B7F7725E7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r>
                    <a:rPr lang="en-US" sz="1100" b="0" i="0">
                      <a:latin typeface="Cambria Math" panose="02040503050406030204" pitchFamily="18" charset="0"/>
                    </a:rPr>
                    <a:t>𝑍_(3𝜎 𝑙𝑖𝑚𝑖𝑡)  &amp;=(0.00022 𝐵)/(𝐶ℎ𝑟 √𝐿)   (𝑉𝑖𝑏𝑟𝑎𝑡𝑖𝑜𝑛 𝐸𝑛𝑣𝑖𝑟𝑜𝑚𝑒𝑛𝑡)</a:t>
                  </a:r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𝑍_𝑝𝑒𝑎𝑘&amp;=(0.00132 𝐵)/(𝐶ℎ𝑟 √𝐿)  (𝑆ℎ𝑜𝑐𝑘 𝐸𝑛𝑣𝑖𝑟𝑜𝑚𝑒𝑛𝑡)</a:t>
                  </a:r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   </a:t>
                  </a:r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:r>
                    <a:rPr lang="en-US" sz="1100" b="0" i="0">
                      <a:latin typeface="Cambria Math" panose="02040503050406030204" pitchFamily="18" charset="0"/>
                    </a:rPr>
                    <a:t>0.75≤𝐶≤2.25</a:t>
                  </a:r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Fallback>
        </mc:AlternateContent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D9A92617-5BAA-4AAB-8D85-D2149971C7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772896" y="7731849"/>
              <a:ext cx="1114045" cy="440030"/>
            </a:xfrm>
            <a:prstGeom prst="rect">
              <a:avLst/>
            </a:prstGeom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95B959EE-29D5-49DE-B7E3-6108FC62CA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797591" y="8531834"/>
              <a:ext cx="933923" cy="810060"/>
            </a:xfrm>
            <a:prstGeom prst="rect">
              <a:avLst/>
            </a:prstGeom>
          </xdr:spPr>
        </xdr:pic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4BEA7639-8B8F-4EB4-B8DC-FD7854A1BA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497263" y="9776267"/>
              <a:ext cx="1444595" cy="663398"/>
            </a:xfrm>
            <a:prstGeom prst="rect">
              <a:avLst/>
            </a:prstGeom>
          </xdr:spPr>
        </xdr:pic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84C8CB31-2597-47DC-A4C0-3792808051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53741" y="10990328"/>
              <a:ext cx="1480929" cy="866550"/>
            </a:xfrm>
            <a:prstGeom prst="rect">
              <a:avLst/>
            </a:prstGeom>
          </xdr:spPr>
        </xdr:pic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F1EAAFD5-EFD9-4651-B378-0C966F0D22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800002" y="12288063"/>
              <a:ext cx="1110285" cy="1056992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8F08AE66-38CE-49C5-8875-1B5BB959D3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716551" y="13857111"/>
              <a:ext cx="1276025" cy="1009602"/>
            </a:xfrm>
            <a:prstGeom prst="rect">
              <a:avLst/>
            </a:prstGeom>
          </xdr:spPr>
        </xdr:pic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F27D603E-C43A-4167-8BA4-540F5F8649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660611" y="15206782"/>
              <a:ext cx="1371225" cy="1140511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000A2B4-DC93-4BF1-A41C-580CC7A62B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383218" y="3067383"/>
            <a:ext cx="3195266" cy="21227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104775</xdr:colOff>
      <xdr:row>1</xdr:row>
      <xdr:rowOff>47625</xdr:rowOff>
    </xdr:from>
    <xdr:to>
      <xdr:col>0</xdr:col>
      <xdr:colOff>3124200</xdr:colOff>
      <xdr:row>12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1534BFA-FFC9-4DA7-9403-61803C7D80F5}"/>
            </a:ext>
          </a:extLst>
        </xdr:cNvPr>
        <xdr:cNvSpPr txBox="1"/>
      </xdr:nvSpPr>
      <xdr:spPr>
        <a:xfrm>
          <a:off x="104775" y="247650"/>
          <a:ext cx="3019425" cy="2105025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S. Steinberg, Vibration analysis for electronic equipment. John Wiley &amp; Sons, Inc., 2000.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T. Irvine, “Extending Steinberg ’s Fatigue Analysis of Electronics Equipment Methodology to a Full Relative Displacement vs. Cycles Curve,” pp. 1–29, 2013.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47625</xdr:rowOff>
    </xdr:from>
    <xdr:to>
      <xdr:col>0</xdr:col>
      <xdr:colOff>3124200</xdr:colOff>
      <xdr:row>12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69FD35-5D07-4088-AED8-8301CAE1B979}"/>
            </a:ext>
          </a:extLst>
        </xdr:cNvPr>
        <xdr:cNvSpPr txBox="1"/>
      </xdr:nvSpPr>
      <xdr:spPr>
        <a:xfrm>
          <a:off x="0" y="247650"/>
          <a:ext cx="0" cy="2105025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S. Steinberg, Vibration analysis for electronic equipment. John Wiley &amp; Sons, Inc., 2000.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T. Irvine, “Extending Steinberg ’s Fatigue Analysis of Electronics Equipment Methodology to a Full Relative Displacement vs. Cycles Curve,” pp. 1–29, 2013.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209550</xdr:colOff>
      <xdr:row>1</xdr:row>
      <xdr:rowOff>38100</xdr:rowOff>
    </xdr:from>
    <xdr:to>
      <xdr:col>5</xdr:col>
      <xdr:colOff>1238250</xdr:colOff>
      <xdr:row>106</xdr:row>
      <xdr:rowOff>66675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31A230E-7E0F-43CC-998A-E6667814E128}"/>
            </a:ext>
          </a:extLst>
        </xdr:cNvPr>
        <xdr:cNvGrpSpPr/>
      </xdr:nvGrpSpPr>
      <xdr:grpSpPr>
        <a:xfrm>
          <a:off x="247650" y="238125"/>
          <a:ext cx="0" cy="20059650"/>
          <a:chOff x="12697589" y="86913"/>
          <a:chExt cx="4399914" cy="19175429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D60185F0-1BDC-4D1F-B37E-A3B1558DE2A7}"/>
              </a:ext>
            </a:extLst>
          </xdr:cNvPr>
          <xdr:cNvGrpSpPr/>
        </xdr:nvGrpSpPr>
        <xdr:grpSpPr>
          <a:xfrm>
            <a:off x="12697589" y="86913"/>
            <a:ext cx="4399914" cy="19175429"/>
            <a:chOff x="12697589" y="86913"/>
            <a:chExt cx="4399914" cy="19175429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B72C3DC4-F52F-4B69-BCDB-C7BD04D2487B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𝑙𝑖𝑚𝑖𝑡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0.00022 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𝑉𝑖𝑏𝑟𝑎𝑡𝑖𝑜𝑛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</m:oMathPara>
                  </a14:m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𝑝𝑒𝑎𝑘</m:t>
                            </m:r>
                          </m:sub>
                        </m:sSub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0.00132 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𝑆h𝑜𝑐𝑘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 </m:t>
                        </m:r>
                      </m:oMath>
                    </m:oMathPara>
                  </a14:m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0.75≤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≤2.25</m:t>
                        </m:r>
                      </m:oMath>
                    </m:oMathPara>
                  </a14:m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Choice>
          <mc:Fallback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B72C3DC4-F52F-4B69-BCDB-C7BD04D2487B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r>
                    <a:rPr lang="en-US" sz="1100" b="0" i="0">
                      <a:latin typeface="Cambria Math" panose="02040503050406030204" pitchFamily="18" charset="0"/>
                    </a:rPr>
                    <a:t>𝑍_(3𝜎 𝑙𝑖𝑚𝑖𝑡)  &amp;=(0.00022 𝐵)/(𝐶ℎ𝑟 √𝐿)   (𝑉𝑖𝑏𝑟𝑎𝑡𝑖𝑜𝑛 𝐸𝑛𝑣𝑖𝑟𝑜𝑚𝑒𝑛𝑡)</a:t>
                  </a:r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𝑍_𝑝𝑒𝑎𝑘&amp;=(0.00132 𝐵)/(𝐶ℎ𝑟 √𝐿)  (𝑆ℎ𝑜𝑐𝑘 𝐸𝑛𝑣𝑖𝑟𝑜𝑚𝑒𝑛𝑡)</a:t>
                  </a:r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   </a:t>
                  </a:r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:r>
                    <a:rPr lang="en-US" sz="1100" b="0" i="0">
                      <a:latin typeface="Cambria Math" panose="02040503050406030204" pitchFamily="18" charset="0"/>
                    </a:rPr>
                    <a:t>0.75≤𝐶≤2.25</a:t>
                  </a:r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Fallback>
        </mc:AlternateContent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E41283E6-5038-4975-8169-EEE53CAECC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772896" y="7731849"/>
              <a:ext cx="1114045" cy="440030"/>
            </a:xfrm>
            <a:prstGeom prst="rect">
              <a:avLst/>
            </a:prstGeom>
          </xdr:spPr>
        </xdr:pic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A7C3116B-23C0-4595-A65C-65E2CA37B8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797591" y="8531834"/>
              <a:ext cx="933923" cy="810060"/>
            </a:xfrm>
            <a:prstGeom prst="rect">
              <a:avLst/>
            </a:prstGeom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02521B5C-C7C2-409C-93F3-345C24CED8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497263" y="9776267"/>
              <a:ext cx="1444595" cy="663398"/>
            </a:xfrm>
            <a:prstGeom prst="rect">
              <a:avLst/>
            </a:prstGeom>
          </xdr:spPr>
        </xdr:pic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78D05420-EDF8-4BCE-A219-5D1766CA9B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53741" y="10990328"/>
              <a:ext cx="1480929" cy="866550"/>
            </a:xfrm>
            <a:prstGeom prst="rect">
              <a:avLst/>
            </a:prstGeom>
          </xdr:spPr>
        </xdr:pic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8D10396B-A184-4E81-AC4F-536C1703BA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800002" y="12288063"/>
              <a:ext cx="1110285" cy="1056992"/>
            </a:xfrm>
            <a:prstGeom prst="rect">
              <a:avLst/>
            </a:prstGeom>
          </xdr:spPr>
        </xdr:pic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82A319B4-AE05-4E75-A3CB-51775CFAF4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716551" y="13857111"/>
              <a:ext cx="1276025" cy="1009602"/>
            </a:xfrm>
            <a:prstGeom prst="rect">
              <a:avLst/>
            </a:prstGeom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51751E85-E69D-4EA0-AB42-8DE0A7855E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660611" y="15206782"/>
              <a:ext cx="1371225" cy="1140511"/>
            </a:xfrm>
            <a:prstGeom prst="rect">
              <a:avLst/>
            </a:prstGeom>
          </xdr:spPr>
        </xdr:pic>
      </xdr:grp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07733EDC-9264-4609-9E70-9448D3B230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383218" y="3067383"/>
            <a:ext cx="3195266" cy="212276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</xdr:row>
      <xdr:rowOff>114299</xdr:rowOff>
    </xdr:from>
    <xdr:to>
      <xdr:col>5</xdr:col>
      <xdr:colOff>1266825</xdr:colOff>
      <xdr:row>106</xdr:row>
      <xdr:rowOff>76199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886E00-BF68-4A74-A916-A22AE9EEF828}"/>
            </a:ext>
          </a:extLst>
        </xdr:cNvPr>
        <xdr:cNvGrpSpPr/>
      </xdr:nvGrpSpPr>
      <xdr:grpSpPr>
        <a:xfrm>
          <a:off x="247650" y="314324"/>
          <a:ext cx="0" cy="19992975"/>
          <a:chOff x="12697589" y="86913"/>
          <a:chExt cx="4399914" cy="1917542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77F37C7-3F24-4BA1-A27C-961BC7DF4B16}"/>
              </a:ext>
            </a:extLst>
          </xdr:cNvPr>
          <xdr:cNvGrpSpPr/>
        </xdr:nvGrpSpPr>
        <xdr:grpSpPr>
          <a:xfrm>
            <a:off x="12697589" y="86913"/>
            <a:ext cx="4399914" cy="19175429"/>
            <a:chOff x="12697589" y="86913"/>
            <a:chExt cx="4399914" cy="19175429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E17C64C1-2D05-4836-9CD0-6485462A12A6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𝑙𝑖𝑚𝑖𝑡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0.00022 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𝑉𝑖𝑏𝑟𝑎𝑡𝑖𝑜𝑛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</m:oMathPara>
                  </a14:m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𝑝𝑒𝑎𝑘</m:t>
                            </m:r>
                          </m:sub>
                        </m:sSub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0.00132 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𝑆h𝑜𝑐𝑘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 </m:t>
                        </m:r>
                      </m:oMath>
                    </m:oMathPara>
                  </a14:m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0.75≤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≤2.25</m:t>
                        </m:r>
                      </m:oMath>
                    </m:oMathPara>
                  </a14:m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Choice>
          <mc:Fallback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E17C64C1-2D05-4836-9CD0-6485462A12A6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r>
                    <a:rPr lang="en-US" sz="1100" b="0" i="0">
                      <a:latin typeface="Cambria Math" panose="02040503050406030204" pitchFamily="18" charset="0"/>
                    </a:rPr>
                    <a:t>𝑍_(3𝜎 𝑙𝑖𝑚𝑖𝑡)  &amp;=(0.00022 𝐵)/(𝐶ℎ𝑟 √𝐿)   (𝑉𝑖𝑏𝑟𝑎𝑡𝑖𝑜𝑛 𝐸𝑛𝑣𝑖𝑟𝑜𝑚𝑒𝑛𝑡)</a:t>
                  </a:r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𝑍_𝑝𝑒𝑎𝑘&amp;=(0.00132 𝐵)/(𝐶ℎ𝑟 √𝐿)  (𝑆ℎ𝑜𝑐𝑘 𝐸𝑛𝑣𝑖𝑟𝑜𝑚𝑒𝑛𝑡)</a:t>
                  </a:r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   </a:t>
                  </a:r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:r>
                    <a:rPr lang="en-US" sz="1100" b="0" i="0">
                      <a:latin typeface="Cambria Math" panose="02040503050406030204" pitchFamily="18" charset="0"/>
                    </a:rPr>
                    <a:t>0.75≤𝐶≤2.25</a:t>
                  </a:r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Fallback>
        </mc:AlternateContent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D055520-7590-4111-9F47-FC99AC47B6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772896" y="7731849"/>
              <a:ext cx="1114045" cy="440030"/>
            </a:xfrm>
            <a:prstGeom prst="rect">
              <a:avLst/>
            </a:prstGeom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35194DAF-088C-4B29-AF8D-3EDDE67C2F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797591" y="8531834"/>
              <a:ext cx="933923" cy="810060"/>
            </a:xfrm>
            <a:prstGeom prst="rect">
              <a:avLst/>
            </a:prstGeom>
          </xdr:spPr>
        </xdr:pic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AFEDD80E-494D-4826-ABD8-324603B7FB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497263" y="9776267"/>
              <a:ext cx="1444595" cy="663398"/>
            </a:xfrm>
            <a:prstGeom prst="rect">
              <a:avLst/>
            </a:prstGeom>
          </xdr:spPr>
        </xdr:pic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E919C482-04CF-49A2-90C2-0B6BC897CC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53741" y="10990328"/>
              <a:ext cx="1480929" cy="866550"/>
            </a:xfrm>
            <a:prstGeom prst="rect">
              <a:avLst/>
            </a:prstGeom>
          </xdr:spPr>
        </xdr:pic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3684942-2135-4103-8ADA-1E395B799F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800002" y="12288063"/>
              <a:ext cx="1110285" cy="1056992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171C17BF-E8DA-4478-8960-3D4C9A4421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716551" y="13857111"/>
              <a:ext cx="1276025" cy="1009602"/>
            </a:xfrm>
            <a:prstGeom prst="rect">
              <a:avLst/>
            </a:prstGeom>
          </xdr:spPr>
        </xdr:pic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7BF9F51F-14DD-4351-8C6B-37D3F1DFDA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660611" y="15206782"/>
              <a:ext cx="1371225" cy="1140511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D082F78E-4D4F-46F7-B62D-51496E027F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383218" y="3067383"/>
            <a:ext cx="3195266" cy="21227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104775</xdr:colOff>
      <xdr:row>1</xdr:row>
      <xdr:rowOff>47625</xdr:rowOff>
    </xdr:from>
    <xdr:to>
      <xdr:col>0</xdr:col>
      <xdr:colOff>3124200</xdr:colOff>
      <xdr:row>12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A31FE8-5611-44F4-9F6D-967CAF4D9E64}"/>
            </a:ext>
          </a:extLst>
        </xdr:cNvPr>
        <xdr:cNvSpPr txBox="1"/>
      </xdr:nvSpPr>
      <xdr:spPr>
        <a:xfrm>
          <a:off x="0" y="247650"/>
          <a:ext cx="0" cy="2105025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S. Steinberg, Vibration analysis for electronic equipment. John Wiley &amp; Sons, Inc., 2000.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T. Irvine, “Extending Steinberg ’s Fatigue Analysis of Electronics Equipment Methodology to a Full Relative Displacement vs. Cycles Curve,” pp. 1–29, 2013.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1</xdr:row>
      <xdr:rowOff>142875</xdr:rowOff>
    </xdr:from>
    <xdr:to>
      <xdr:col>5</xdr:col>
      <xdr:colOff>1285874</xdr:colOff>
      <xdr:row>106</xdr:row>
      <xdr:rowOff>66674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980678C-F3E9-44AD-90B9-01967E7A9276}"/>
            </a:ext>
          </a:extLst>
        </xdr:cNvPr>
        <xdr:cNvGrpSpPr/>
      </xdr:nvGrpSpPr>
      <xdr:grpSpPr>
        <a:xfrm>
          <a:off x="285749" y="342900"/>
          <a:ext cx="5133975" cy="19954874"/>
          <a:chOff x="12697589" y="86913"/>
          <a:chExt cx="4399914" cy="1917542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0FC46E6-DC45-4C4D-B9F5-2DB42D256A0D}"/>
              </a:ext>
            </a:extLst>
          </xdr:cNvPr>
          <xdr:cNvGrpSpPr/>
        </xdr:nvGrpSpPr>
        <xdr:grpSpPr>
          <a:xfrm>
            <a:off x="12697589" y="86913"/>
            <a:ext cx="4399914" cy="19175429"/>
            <a:chOff x="12697589" y="86913"/>
            <a:chExt cx="4399914" cy="19175429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36E9CEAC-C47A-4B08-B77C-365AFC6D8B5B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𝑙𝑖𝑚𝑖𝑡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0.00022 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𝑉𝑖𝑏𝑟𝑎𝑡𝑖𝑜𝑛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</m:oMathPara>
                  </a14:m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𝑝𝑒𝑎𝑘</m:t>
                            </m:r>
                          </m:sub>
                        </m:sSub>
                        <m:r>
                          <m:rPr>
                            <m:aln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0.00132 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𝐶h𝑟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</m:rad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𝑆h𝑜𝑐𝑘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𝐸𝑛𝑣𝑖𝑟𝑜𝑚𝑒𝑛𝑡</m:t>
                            </m:r>
                          </m:e>
                        </m:d>
                      </m:oMath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 </m:t>
                        </m:r>
                      </m:oMath>
                    </m:oMathPara>
                  </a14:m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0.75≤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≤2.25</m:t>
                        </m:r>
                      </m:oMath>
                    </m:oMathPara>
                  </a14:m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Choice>
          <mc:Fallback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36E9CEAC-C47A-4B08-B77C-365AFC6D8B5B}"/>
                    </a:ext>
                  </a:extLst>
                </xdr:cNvPr>
                <xdr:cNvSpPr txBox="1"/>
              </xdr:nvSpPr>
              <xdr:spPr>
                <a:xfrm>
                  <a:off x="12697589" y="86913"/>
                  <a:ext cx="4399914" cy="19175429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 b="1" u="sng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Written by Aiden Azarnoush Feb 4, 2022</a:t>
                  </a:r>
                  <a:endParaRPr lang="en-US">
                    <a:solidFill>
                      <a:srgbClr val="FF0000"/>
                    </a:solidFill>
                    <a:effectLst/>
                  </a:endParaRPr>
                </a:p>
                <a:p>
                  <a:endParaRPr lang="en-US" sz="1100" b="1" i="0">
                    <a:latin typeface="Cambria Math" panose="02040503050406030204" pitchFamily="18" charset="0"/>
                  </a:endParaRPr>
                </a:p>
                <a:p>
                  <a:r>
                    <a:rPr lang="en-US" sz="1100" b="1" i="0">
                      <a:latin typeface="Cambria Math" panose="02040503050406030204" pitchFamily="18" charset="0"/>
                    </a:rPr>
                    <a:t>Steinberg's</a:t>
                  </a:r>
                  <a:r>
                    <a:rPr lang="en-US" sz="1100" b="1" i="0" baseline="0">
                      <a:latin typeface="Cambria Math" panose="02040503050406030204" pitchFamily="18" charset="0"/>
                    </a:rPr>
                    <a:t> relative displacement limit for a circuit board (20 million cycles):</a:t>
                  </a:r>
                </a:p>
                <a:p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r>
                    <a:rPr lang="en-US" sz="1100" b="0" i="0">
                      <a:latin typeface="Cambria Math" panose="02040503050406030204" pitchFamily="18" charset="0"/>
                    </a:rPr>
                    <a:t>𝑍_(3𝜎 𝑙𝑖𝑚𝑖𝑡)  &amp;=(0.00022 𝐵)/(𝐶ℎ𝑟 √𝐿)   (𝑉𝑖𝑏𝑟𝑎𝑡𝑖𝑜𝑛 𝐸𝑛𝑣𝑖𝑟𝑜𝑚𝑒𝑛𝑡)</a:t>
                  </a:r>
                  <a:endParaRPr lang="en-US" sz="1100" b="0" i="1">
                    <a:latin typeface="Cambria Math" panose="02040503050406030204" pitchFamily="18" charset="0"/>
                  </a:endParaRPr>
                </a:p>
                <a:p>
                  <a:pPr algn="ctr"/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𝑍_𝑝𝑒𝑎𝑘&amp;=(0.00132 𝐵)/(𝐶ℎ𝑟 √𝐿)  (𝑆ℎ𝑜𝑐𝑘 𝐸𝑛𝑣𝑖𝑟𝑜𝑚𝑒𝑛𝑡)</a:t>
                  </a:r>
                  <a:br>
                    <a:rPr lang="en-US" sz="1100" b="0" i="1">
                      <a:latin typeface="Cambria Math" panose="02040503050406030204" pitchFamily="18" charset="0"/>
                    </a:rPr>
                  </a:br>
                  <a:r>
                    <a:rPr lang="en-US" sz="1100" b="0" i="0">
                      <a:latin typeface="Cambria Math" panose="02040503050406030204" pitchFamily="18" charset="0"/>
                    </a:rPr>
                    <a:t>   </a:t>
                  </a:r>
                  <a:endParaRPr lang="en-US" sz="1100"/>
                </a:p>
                <a:p>
                  <a:r>
                    <a:rPr lang="en-US" sz="1100"/>
                    <a:t>Where</a:t>
                  </a:r>
                </a:p>
                <a:p>
                  <a:pPr lvl="0"/>
                  <a:r>
                    <a:rPr lang="en-US" sz="1100"/>
                    <a:t>B=</a:t>
                  </a:r>
                  <a:r>
                    <a:rPr lang="en-US" sz="1100" baseline="0"/>
                    <a:t> Length of the circuit board edge parallel to the component (in)</a:t>
                  </a:r>
                </a:p>
                <a:p>
                  <a:pPr lvl="0"/>
                  <a:r>
                    <a:rPr lang="en-US" sz="1100" baseline="0"/>
                    <a:t>L = Length of the electronic component (in)</a:t>
                  </a:r>
                </a:p>
                <a:p>
                  <a:pPr lvl="0"/>
                  <a:r>
                    <a:rPr lang="en-US" sz="1100" baseline="0"/>
                    <a:t>h = circuit board thickness (in)</a:t>
                  </a:r>
                </a:p>
                <a:p>
                  <a:pPr lvl="0"/>
                  <a:r>
                    <a:rPr lang="en-US" sz="1100"/>
                    <a:t>r = relative position factor for the component mounted on the board</a:t>
                  </a:r>
                </a:p>
                <a:p>
                  <a:pPr lvl="0"/>
                  <a:r>
                    <a:rPr lang="en-US" sz="1100"/>
                    <a:t>C = constant for different types of electronic components</a:t>
                  </a:r>
                </a:p>
                <a:p>
                  <a:endParaRPr lang="en-US" sz="1100"/>
                </a:p>
                <a:p>
                  <a:pPr/>
                  <a:r>
                    <a:rPr lang="en-US" sz="1100" b="0" i="0">
                      <a:latin typeface="Cambria Math" panose="02040503050406030204" pitchFamily="18" charset="0"/>
                    </a:rPr>
                    <a:t>0.75≤𝐶≤2.25</a:t>
                  </a:r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endParaRPr lang="en-US" sz="1100"/>
                </a:p>
                <a:p>
                  <a:r>
                    <a:rPr lang="en-US" sz="1100" b="1"/>
                    <a:t>Relative</a:t>
                  </a:r>
                  <a:r>
                    <a:rPr lang="en-US" sz="1100" b="1" baseline="0"/>
                    <a:t> position factor (r):</a:t>
                  </a:r>
                  <a:endParaRPr lang="en-US" sz="1100" b="1"/>
                </a:p>
                <a:p>
                  <a:endParaRPr lang="en-US" sz="1100"/>
                </a:p>
                <a:p>
                  <a:r>
                    <a:rPr lang="en-US" sz="1100"/>
                    <a:t>r is relative position</a:t>
                  </a:r>
                  <a:r>
                    <a:rPr lang="en-US" sz="1100" baseline="0"/>
                    <a:t> with respect to center of the board.</a:t>
                  </a:r>
                  <a:endParaRPr lang="en-US" sz="1100"/>
                </a:p>
                <a:p>
                  <a:pPr lvl="1"/>
                  <a:r>
                    <a:rPr lang="en-US" sz="1100"/>
                    <a:t>1. r=1 when component is at center of PCB </a:t>
                  </a:r>
                </a:p>
                <a:p>
                  <a:pPr lvl="1"/>
                  <a:r>
                    <a:rPr lang="en-US" sz="1100"/>
                    <a:t>2. r=0.707</a:t>
                  </a:r>
                  <a:r>
                    <a:rPr lang="en-US" sz="1100" baseline="0"/>
                    <a:t> when component is at half point X and quarte point Y (near one side of the PCB)</a:t>
                  </a:r>
                </a:p>
                <a:p>
                  <a:pPr lvl="1"/>
                  <a:r>
                    <a:rPr lang="en-US" sz="1100" baseline="0"/>
                    <a:t>3. r=0.5 When component is at quarte point X and quarter point Y (near one corner of PCB)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If you are not sure about r, set it equal to 1 (most conservative).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="1" baseline="0"/>
                    <a:t>Component constants: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(resistors, capacitors, diodes)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 (standard dual inline package or DIP)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(DIP with side-brazed lead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1.0 (through-hole Pin grid array or PGA with many wires extending                    </a:t>
                  </a:r>
                </a:p>
                <a:p>
                  <a:pPr lvl="0"/>
                  <a:r>
                    <a:rPr lang="en-US" sz="1100" baseline="0"/>
                    <a:t>               from the bottom surface of the PGA)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2.25 (surface-mounted leadless ceramic chip carries or LCCC)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(surface-mounted leaded ceramic chip carries with thermal </a:t>
                  </a:r>
                </a:p>
                <a:p>
                  <a:pPr lvl="0"/>
                  <a:r>
                    <a:rPr lang="en-US" sz="1100" baseline="0"/>
                    <a:t>                 compression bonded J wires or gull wing wires)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1.75 (surface-mounted ball grid array or BGA)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Note: BGA is a surface mount chip carries </a:t>
                  </a:r>
                </a:p>
                <a:p>
                  <a:pPr lvl="0"/>
                  <a:r>
                    <a:rPr lang="en-US" sz="1100" baseline="0"/>
                    <a:t>           that connects to a PCB through a </a:t>
                  </a:r>
                </a:p>
                <a:p>
                  <a:pPr lvl="0"/>
                  <a:r>
                    <a:rPr lang="en-US" sz="1100" baseline="0"/>
                    <a:t>           bottom side array of solder balls.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0.75 (fine-pitch surface mounted axial leads around perimeter of</a:t>
                  </a:r>
                </a:p>
                <a:p>
                  <a:pPr lvl="0"/>
                  <a:r>
                    <a:rPr lang="en-US" sz="1100" baseline="0"/>
                    <a:t>                 component with four corners of the PCB prevent bouncing)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 = 1.26 (Any component with two prallel rows of wires extending </a:t>
                  </a:r>
                </a:p>
                <a:p>
                  <a:pPr lvl="0"/>
                  <a:r>
                    <a:rPr lang="en-US" sz="1100" baseline="0"/>
                    <a:t>                from the bottom surface, hybrid, PGA, very large scale </a:t>
                  </a:r>
                </a:p>
                <a:p>
                  <a:pPr lvl="0"/>
                  <a:r>
                    <a:rPr lang="en-US" sz="1100" baseline="0"/>
                    <a:t>                integrated (VLSI), application specific integrated circuit </a:t>
                  </a:r>
                </a:p>
                <a:p>
                  <a:pPr lvl="0"/>
                  <a:r>
                    <a:rPr lang="en-US" sz="1100" baseline="0"/>
                    <a:t>                (ASIC), very high scale integrated circuit (VHSIC), and </a:t>
                  </a:r>
                </a:p>
                <a:p>
                  <a:pPr lvl="0"/>
                  <a:r>
                    <a:rPr lang="en-US" sz="1100" baseline="0"/>
                    <a:t>                multichip module (MCM))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r>
                    <a:rPr lang="en-US" sz="1100" baseline="0"/>
                    <a:t>C=2.25 (conservative value)</a:t>
                  </a:r>
                </a:p>
                <a:p>
                  <a:pPr lvl="0"/>
                  <a:r>
                    <a:rPr lang="en-US" sz="1100" baseline="0"/>
                    <a:t> </a:t>
                  </a:r>
                </a:p>
                <a:p>
                  <a:pPr lvl="0"/>
                  <a:r>
                    <a:rPr lang="en-US" sz="1100" baseline="0"/>
                    <a:t>Thank you!</a:t>
                  </a:r>
                </a:p>
                <a:p>
                  <a:pPr lvl="0"/>
                  <a:endParaRPr lang="en-US" sz="1100" baseline="0"/>
                </a:p>
                <a:p>
                  <a:pPr lvl="0"/>
                  <a:endParaRPr lang="en-US" sz="1100" baseline="0"/>
                </a:p>
              </xdr:txBody>
            </xdr:sp>
          </mc:Fallback>
        </mc:AlternateContent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E7AF0CCB-E1E4-4197-A869-44139FED6E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772896" y="7731849"/>
              <a:ext cx="1114045" cy="440030"/>
            </a:xfrm>
            <a:prstGeom prst="rect">
              <a:avLst/>
            </a:prstGeom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D00A0A9D-3328-4E7E-A7B8-49550F67D1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797591" y="8531834"/>
              <a:ext cx="933923" cy="810060"/>
            </a:xfrm>
            <a:prstGeom prst="rect">
              <a:avLst/>
            </a:prstGeom>
          </xdr:spPr>
        </xdr:pic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2C06C035-A18B-45ED-A48B-A4261C37F1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497263" y="9776267"/>
              <a:ext cx="1444595" cy="663398"/>
            </a:xfrm>
            <a:prstGeom prst="rect">
              <a:avLst/>
            </a:prstGeom>
          </xdr:spPr>
        </xdr:pic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A1E078DD-8B9E-4225-B46C-89B33F3511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53741" y="10990328"/>
              <a:ext cx="1480929" cy="866550"/>
            </a:xfrm>
            <a:prstGeom prst="rect">
              <a:avLst/>
            </a:prstGeom>
          </xdr:spPr>
        </xdr:pic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A74E84F1-E2BB-43D3-8596-3CF9C15715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800002" y="12288063"/>
              <a:ext cx="1110285" cy="1056992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E201B087-C479-4C44-8A48-CCE4B3B8FB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716551" y="13857111"/>
              <a:ext cx="1276025" cy="1009602"/>
            </a:xfrm>
            <a:prstGeom prst="rect">
              <a:avLst/>
            </a:prstGeom>
          </xdr:spPr>
        </xdr:pic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FF7A7410-A0F9-431F-B64D-018C61A80E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660611" y="15206782"/>
              <a:ext cx="1371225" cy="1140511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C9B5125-BBDD-4E39-9229-CD813320E2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383218" y="3067383"/>
            <a:ext cx="3195266" cy="21227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104775</xdr:colOff>
      <xdr:row>1</xdr:row>
      <xdr:rowOff>47625</xdr:rowOff>
    </xdr:from>
    <xdr:to>
      <xdr:col>0</xdr:col>
      <xdr:colOff>3124200</xdr:colOff>
      <xdr:row>12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5FDF8F-0F9B-4204-8449-50A5D25455E2}"/>
            </a:ext>
          </a:extLst>
        </xdr:cNvPr>
        <xdr:cNvSpPr txBox="1"/>
      </xdr:nvSpPr>
      <xdr:spPr>
        <a:xfrm>
          <a:off x="0" y="247650"/>
          <a:ext cx="0" cy="2105025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S. Steinberg, Vibration analysis for electronic equipment. John Wiley &amp; Sons, Inc., 2000.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T. Irvine, “Extending Steinberg ’s Fatigue Analysis of Electronics Equipment Methodology to a Full Relative Displacement vs. Cycles Curve,” pp. 1–29, 2013.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CBDE-AB67-41DA-BA01-8E1718E4C2E0}">
  <sheetPr codeName="Sheet4"/>
  <dimension ref="A1:Z51"/>
  <sheetViews>
    <sheetView topLeftCell="B1" workbookViewId="0">
      <selection activeCell="I28" sqref="I28"/>
    </sheetView>
  </sheetViews>
  <sheetFormatPr defaultRowHeight="15" outlineLevelCol="1" x14ac:dyDescent="0.25"/>
  <cols>
    <col min="1" max="1" width="48.140625" hidden="1" customWidth="1" outlineLevel="1"/>
    <col min="2" max="2" width="3.7109375" style="8" customWidth="1" collapsed="1"/>
    <col min="3" max="3" width="20.5703125" style="8" hidden="1" customWidth="1" outlineLevel="1"/>
    <col min="4" max="4" width="16.42578125" style="8" hidden="1" customWidth="1" outlineLevel="1"/>
    <col min="5" max="5" width="21.28515625" style="10" hidden="1" customWidth="1" outlineLevel="1"/>
    <col min="6" max="6" width="20.28515625" hidden="1" customWidth="1" outlineLevel="1"/>
    <col min="7" max="7" width="3.7109375" style="3" customWidth="1" collapsed="1"/>
    <col min="8" max="8" width="2.7109375" style="3" hidden="1" customWidth="1" outlineLevel="1"/>
    <col min="9" max="9" width="47.85546875" hidden="1" customWidth="1" outlineLevel="1"/>
    <col min="10" max="10" width="21.140625" hidden="1" customWidth="1" outlineLevel="1"/>
    <col min="11" max="11" width="2.7109375" hidden="1" customWidth="1" outlineLevel="1"/>
    <col min="12" max="12" width="3.7109375" customWidth="1" collapsed="1"/>
    <col min="13" max="13" width="2.7109375" style="3" customWidth="1"/>
    <col min="14" max="14" width="3.7109375" customWidth="1"/>
    <col min="15" max="15" width="42.5703125" customWidth="1"/>
    <col min="16" max="16" width="10.42578125" customWidth="1"/>
    <col min="17" max="17" width="49" customWidth="1"/>
    <col min="18" max="18" width="4.7109375" customWidth="1"/>
    <col min="19" max="76" width="2.7109375" customWidth="1"/>
  </cols>
  <sheetData>
    <row r="1" spans="2:26" ht="15.75" thickBot="1" x14ac:dyDescent="0.3">
      <c r="B1" s="2" t="s">
        <v>2</v>
      </c>
      <c r="C1" s="6"/>
      <c r="G1" s="2" t="s">
        <v>2</v>
      </c>
      <c r="L1" s="2" t="s">
        <v>2</v>
      </c>
      <c r="Z1" s="2"/>
    </row>
    <row r="2" spans="2:26" ht="15.75" thickBot="1" x14ac:dyDescent="0.3">
      <c r="B2" t="s">
        <v>35</v>
      </c>
      <c r="C2" s="7"/>
      <c r="D2" s="10"/>
      <c r="E2" s="11"/>
      <c r="G2" t="s">
        <v>36</v>
      </c>
      <c r="I2" s="19" t="s">
        <v>31</v>
      </c>
      <c r="J2" s="19"/>
      <c r="L2" t="s">
        <v>33</v>
      </c>
      <c r="N2" s="52"/>
      <c r="O2" s="53" t="s">
        <v>39</v>
      </c>
      <c r="P2" s="54" t="s">
        <v>34</v>
      </c>
      <c r="Q2" s="55" t="s">
        <v>21</v>
      </c>
      <c r="R2" s="56" t="s">
        <v>18</v>
      </c>
    </row>
    <row r="3" spans="2:26" ht="15.75" customHeight="1" x14ac:dyDescent="0.25">
      <c r="C3" s="9"/>
      <c r="D3" s="9"/>
      <c r="I3" s="13" t="s">
        <v>1</v>
      </c>
      <c r="J3" s="13">
        <f>IF(Q6=$I$7,$J$7,IF(Q6=$I$8,$J$8,IF(Q6=$I$9,$J$9,IF(Q6=$I$10,$J$10,IF(Q6=$I$11,$J$11,IF(Q6=$I$12,$J$12,IF(Q6=$I$13,$J$13,IF(Q6=$I$14,$J$14, IF(Q6=$I$15,$J$15, IF(Q6=$I$16,$J$16))))))))))</f>
        <v>2.25</v>
      </c>
      <c r="N3" s="20" t="s">
        <v>30</v>
      </c>
      <c r="O3" s="48" t="s">
        <v>22</v>
      </c>
      <c r="P3" s="49" t="s">
        <v>0</v>
      </c>
      <c r="Q3" s="50">
        <v>6</v>
      </c>
      <c r="R3" s="51" t="s">
        <v>19</v>
      </c>
    </row>
    <row r="4" spans="2:26" x14ac:dyDescent="0.25">
      <c r="B4" s="9"/>
      <c r="C4" s="9"/>
      <c r="D4" s="9"/>
      <c r="E4" s="12"/>
      <c r="I4" s="13" t="s">
        <v>3</v>
      </c>
      <c r="J4" s="13">
        <f>IF(Q7=$I$19,$J$19,IF(Q7=$I$20,$J$20,IF(Q7=$I$21,$J$21,IF(Q7=$I$22,$J$22))))</f>
        <v>1</v>
      </c>
      <c r="N4" s="20"/>
      <c r="O4" s="25" t="s">
        <v>37</v>
      </c>
      <c r="P4" s="32" t="s">
        <v>4</v>
      </c>
      <c r="Q4" s="43">
        <v>2</v>
      </c>
      <c r="R4" s="39" t="s">
        <v>19</v>
      </c>
    </row>
    <row r="5" spans="2:26" x14ac:dyDescent="0.25">
      <c r="B5" s="9"/>
      <c r="C5" s="9"/>
      <c r="D5" s="9"/>
      <c r="E5" s="12"/>
      <c r="I5" s="15"/>
      <c r="J5" s="15"/>
      <c r="N5" s="20"/>
      <c r="O5" s="26" t="s">
        <v>23</v>
      </c>
      <c r="P5" s="33" t="s">
        <v>2</v>
      </c>
      <c r="Q5" s="26">
        <v>1.5</v>
      </c>
      <c r="R5" s="39" t="s">
        <v>19</v>
      </c>
    </row>
    <row r="6" spans="2:26" x14ac:dyDescent="0.25">
      <c r="B6" s="9"/>
      <c r="C6" s="9"/>
      <c r="D6" s="9"/>
      <c r="E6" s="12"/>
      <c r="I6" s="19" t="s">
        <v>32</v>
      </c>
      <c r="J6" s="19"/>
      <c r="N6" s="20"/>
      <c r="O6" s="26" t="s">
        <v>24</v>
      </c>
      <c r="P6" s="32" t="s">
        <v>1</v>
      </c>
      <c r="Q6" s="44" t="s">
        <v>13</v>
      </c>
      <c r="R6" s="39" t="s">
        <v>20</v>
      </c>
    </row>
    <row r="7" spans="2:26" ht="15.75" thickBot="1" x14ac:dyDescent="0.3">
      <c r="B7" s="9"/>
      <c r="C7" s="9"/>
      <c r="D7" s="9"/>
      <c r="E7" s="12"/>
      <c r="I7" s="16" t="s">
        <v>6</v>
      </c>
      <c r="J7" s="17">
        <v>0.75</v>
      </c>
      <c r="N7" s="21"/>
      <c r="O7" s="27" t="s">
        <v>38</v>
      </c>
      <c r="P7" s="34" t="s">
        <v>3</v>
      </c>
      <c r="Q7" s="45" t="s">
        <v>15</v>
      </c>
      <c r="R7" s="40" t="s">
        <v>20</v>
      </c>
    </row>
    <row r="8" spans="2:26" ht="15" customHeight="1" x14ac:dyDescent="0.25">
      <c r="B8" s="9"/>
      <c r="C8" s="9"/>
      <c r="D8" s="9"/>
      <c r="E8" s="12"/>
      <c r="I8" s="16" t="s">
        <v>7</v>
      </c>
      <c r="J8" s="17">
        <v>1</v>
      </c>
      <c r="N8" s="22" t="s">
        <v>29</v>
      </c>
      <c r="O8" s="28" t="s">
        <v>27</v>
      </c>
      <c r="P8" s="35" t="s">
        <v>5</v>
      </c>
      <c r="Q8" s="46">
        <f>0.00022*Q3/J3/J4/Q5/SQRT(Q4)</f>
        <v>2.7655731886407189E-4</v>
      </c>
      <c r="R8" s="41" t="s">
        <v>19</v>
      </c>
    </row>
    <row r="9" spans="2:26" x14ac:dyDescent="0.25">
      <c r="B9" s="9"/>
      <c r="C9" s="9"/>
      <c r="D9" s="9"/>
      <c r="E9" s="12"/>
      <c r="I9" s="16" t="s">
        <v>8</v>
      </c>
      <c r="J9" s="17">
        <v>1.26</v>
      </c>
      <c r="N9" s="23"/>
      <c r="O9" s="29"/>
      <c r="P9" s="36" t="s">
        <v>5</v>
      </c>
      <c r="Q9" s="42">
        <f>Q8*25.4</f>
        <v>7.0245558991474258E-3</v>
      </c>
      <c r="R9" s="39" t="s">
        <v>25</v>
      </c>
    </row>
    <row r="10" spans="2:26" ht="15" customHeight="1" x14ac:dyDescent="0.25">
      <c r="C10" s="9"/>
      <c r="D10" s="9"/>
      <c r="E10" s="12"/>
      <c r="I10" s="16" t="s">
        <v>9</v>
      </c>
      <c r="J10" s="17">
        <v>1</v>
      </c>
      <c r="N10" s="23"/>
      <c r="O10" s="30" t="s">
        <v>28</v>
      </c>
      <c r="P10" s="37" t="s">
        <v>26</v>
      </c>
      <c r="Q10" s="42">
        <f>0.00132*Q3/J3/J4/Q5/SQRT(Q4)</f>
        <v>1.6593439131844315E-3</v>
      </c>
      <c r="R10" s="39" t="s">
        <v>19</v>
      </c>
    </row>
    <row r="11" spans="2:26" ht="15.75" thickBot="1" x14ac:dyDescent="0.3">
      <c r="C11" s="9"/>
      <c r="D11" s="9"/>
      <c r="E11" s="12"/>
      <c r="I11" s="16" t="s">
        <v>10</v>
      </c>
      <c r="J11" s="17">
        <v>2.25</v>
      </c>
      <c r="N11" s="24"/>
      <c r="O11" s="31"/>
      <c r="P11" s="38" t="s">
        <v>26</v>
      </c>
      <c r="Q11" s="47">
        <f t="shared" ref="Q11" si="0">Q10*25.4</f>
        <v>4.2147335394884557E-2</v>
      </c>
      <c r="R11" s="40" t="s">
        <v>25</v>
      </c>
    </row>
    <row r="12" spans="2:26" x14ac:dyDescent="0.25">
      <c r="C12" s="9"/>
      <c r="D12" s="9"/>
      <c r="E12" s="12"/>
      <c r="I12" s="16" t="s">
        <v>14</v>
      </c>
      <c r="J12" s="17">
        <v>1.26</v>
      </c>
      <c r="K12" s="1"/>
      <c r="Q12" s="1"/>
      <c r="R12" s="1"/>
    </row>
    <row r="13" spans="2:26" x14ac:dyDescent="0.25">
      <c r="C13" s="9"/>
      <c r="D13" s="9"/>
      <c r="E13" s="12"/>
      <c r="I13" s="16" t="s">
        <v>11</v>
      </c>
      <c r="J13" s="17">
        <v>1.75</v>
      </c>
      <c r="K13" s="1"/>
      <c r="Q13" s="1"/>
      <c r="R13" s="1"/>
    </row>
    <row r="14" spans="2:26" x14ac:dyDescent="0.25">
      <c r="C14" s="9"/>
      <c r="D14" s="9"/>
      <c r="E14" s="12"/>
      <c r="I14" s="16" t="s">
        <v>12</v>
      </c>
      <c r="J14" s="17">
        <v>0.75</v>
      </c>
      <c r="K14" s="1"/>
      <c r="Q14" s="1"/>
      <c r="R14" s="1"/>
    </row>
    <row r="15" spans="2:26" x14ac:dyDescent="0.25">
      <c r="C15" s="9"/>
      <c r="D15" s="9"/>
      <c r="E15" s="12"/>
      <c r="I15" s="18" t="s">
        <v>40</v>
      </c>
      <c r="J15" s="17">
        <v>1.26</v>
      </c>
      <c r="K15" s="1"/>
      <c r="Q15" s="1"/>
      <c r="R15" s="1"/>
    </row>
    <row r="16" spans="2:26" x14ac:dyDescent="0.25">
      <c r="C16" s="9"/>
      <c r="D16" s="9"/>
      <c r="E16" s="12"/>
      <c r="I16" s="16" t="s">
        <v>13</v>
      </c>
      <c r="J16" s="17">
        <v>2.25</v>
      </c>
      <c r="K16" s="1"/>
      <c r="Q16" s="1"/>
      <c r="R16" s="1"/>
    </row>
    <row r="17" spans="3:18" x14ac:dyDescent="0.25">
      <c r="C17" s="9"/>
      <c r="D17" s="9"/>
      <c r="E17" s="12"/>
      <c r="I17" s="15"/>
      <c r="J17" s="15"/>
      <c r="K17" s="1"/>
      <c r="Q17" s="1"/>
      <c r="R17" s="1"/>
    </row>
    <row r="18" spans="3:18" x14ac:dyDescent="0.25">
      <c r="C18" s="9"/>
      <c r="D18" s="9"/>
      <c r="E18" s="12"/>
      <c r="I18" s="19" t="s">
        <v>32</v>
      </c>
      <c r="J18" s="19"/>
      <c r="K18" s="1"/>
      <c r="Q18" s="1"/>
      <c r="R18" s="1"/>
    </row>
    <row r="19" spans="3:18" x14ac:dyDescent="0.25">
      <c r="C19" s="9"/>
      <c r="D19" s="9"/>
      <c r="E19" s="12"/>
      <c r="I19" s="16" t="s">
        <v>15</v>
      </c>
      <c r="J19" s="17">
        <v>1</v>
      </c>
      <c r="K19" s="1"/>
      <c r="Q19" s="1"/>
      <c r="R19" s="1"/>
    </row>
    <row r="20" spans="3:18" x14ac:dyDescent="0.25">
      <c r="C20" s="9"/>
      <c r="D20" s="9"/>
      <c r="E20" s="12"/>
      <c r="I20" s="16" t="s">
        <v>16</v>
      </c>
      <c r="J20" s="17">
        <v>0.70699999999999996</v>
      </c>
      <c r="K20" s="4"/>
      <c r="Q20" s="1"/>
      <c r="R20" s="1"/>
    </row>
    <row r="21" spans="3:18" x14ac:dyDescent="0.25">
      <c r="C21" s="9"/>
      <c r="D21" s="9"/>
      <c r="E21" s="12"/>
      <c r="I21" s="16" t="s">
        <v>17</v>
      </c>
      <c r="J21" s="17">
        <v>0.5</v>
      </c>
      <c r="K21" s="4"/>
      <c r="Q21" s="1"/>
      <c r="R21" s="1"/>
    </row>
    <row r="22" spans="3:18" x14ac:dyDescent="0.25">
      <c r="C22" s="9"/>
      <c r="D22" s="9"/>
      <c r="E22" s="12"/>
      <c r="I22" s="16" t="s">
        <v>13</v>
      </c>
      <c r="J22" s="17">
        <v>1</v>
      </c>
      <c r="K22" s="1"/>
      <c r="Q22" s="1"/>
      <c r="R22" s="1"/>
    </row>
    <row r="23" spans="3:18" x14ac:dyDescent="0.25">
      <c r="C23" s="9"/>
      <c r="D23" s="9"/>
      <c r="E23" s="12"/>
      <c r="K23" s="1"/>
      <c r="Q23" s="1"/>
      <c r="R23" s="1"/>
    </row>
    <row r="24" spans="3:18" x14ac:dyDescent="0.25">
      <c r="C24" s="9"/>
      <c r="D24" s="9"/>
      <c r="E24" s="12"/>
      <c r="K24" s="1"/>
      <c r="Q24" s="1"/>
      <c r="R24" s="1"/>
    </row>
    <row r="25" spans="3:18" x14ac:dyDescent="0.25">
      <c r="C25" s="9"/>
      <c r="D25" s="9"/>
      <c r="E25" s="12"/>
      <c r="K25" s="1"/>
      <c r="Q25" s="1"/>
      <c r="R25" s="1"/>
    </row>
    <row r="26" spans="3:18" x14ac:dyDescent="0.25">
      <c r="C26" s="9"/>
      <c r="D26" s="9"/>
      <c r="E26" s="12"/>
      <c r="K26" s="1"/>
      <c r="Q26" s="1"/>
      <c r="R26" s="1"/>
    </row>
    <row r="27" spans="3:18" x14ac:dyDescent="0.25">
      <c r="C27" s="9"/>
      <c r="D27" s="9"/>
      <c r="E27" s="12"/>
      <c r="K27" s="1"/>
      <c r="Q27" s="1"/>
      <c r="R27" s="1"/>
    </row>
    <row r="28" spans="3:18" x14ac:dyDescent="0.25">
      <c r="C28" s="9"/>
      <c r="D28" s="9"/>
      <c r="E28" s="12"/>
      <c r="K28" s="14"/>
      <c r="Q28" s="1"/>
      <c r="R28" s="1"/>
    </row>
    <row r="29" spans="3:18" x14ac:dyDescent="0.25">
      <c r="C29" s="9"/>
      <c r="D29" s="9"/>
      <c r="E29" s="12"/>
      <c r="K29" s="1"/>
      <c r="Q29" s="1"/>
      <c r="R29" s="1"/>
    </row>
    <row r="30" spans="3:18" x14ac:dyDescent="0.25">
      <c r="C30" s="9"/>
      <c r="D30" s="9"/>
      <c r="E30" s="12"/>
      <c r="I30" s="5"/>
      <c r="K30" s="1"/>
      <c r="Q30" s="1"/>
      <c r="R30" s="1"/>
    </row>
    <row r="31" spans="3:18" x14ac:dyDescent="0.25">
      <c r="C31" s="9"/>
      <c r="D31" s="9"/>
      <c r="E31" s="12"/>
      <c r="K31" s="1"/>
      <c r="Q31" s="1"/>
      <c r="R31" s="1"/>
    </row>
    <row r="32" spans="3:18" x14ac:dyDescent="0.25">
      <c r="C32" s="9"/>
      <c r="D32" s="9"/>
      <c r="E32" s="12"/>
      <c r="K32" s="1"/>
      <c r="Q32" s="1"/>
      <c r="R32" s="1"/>
    </row>
    <row r="33" spans="3:18" x14ac:dyDescent="0.25">
      <c r="C33" s="9"/>
      <c r="D33" s="9"/>
      <c r="E33" s="12"/>
      <c r="K33" s="1"/>
      <c r="Q33" s="1"/>
      <c r="R33" s="1"/>
    </row>
    <row r="34" spans="3:18" x14ac:dyDescent="0.25">
      <c r="C34" s="9"/>
      <c r="D34" s="9"/>
      <c r="E34" s="12"/>
      <c r="K34" s="1"/>
      <c r="Q34" s="1"/>
      <c r="R34" s="1"/>
    </row>
    <row r="35" spans="3:18" x14ac:dyDescent="0.25">
      <c r="C35" s="9"/>
      <c r="D35" s="9"/>
      <c r="E35" s="12"/>
      <c r="K35" s="1"/>
      <c r="Q35" s="1"/>
      <c r="R35" s="1"/>
    </row>
    <row r="36" spans="3:18" x14ac:dyDescent="0.25">
      <c r="C36" s="9"/>
      <c r="D36" s="9"/>
      <c r="E36" s="12"/>
      <c r="K36" s="1"/>
      <c r="Q36" s="1"/>
      <c r="R36" s="1"/>
    </row>
    <row r="37" spans="3:18" x14ac:dyDescent="0.25">
      <c r="C37" s="9"/>
      <c r="D37" s="9"/>
      <c r="E37" s="12"/>
      <c r="K37" s="1"/>
      <c r="Q37" s="1"/>
      <c r="R37" s="1"/>
    </row>
    <row r="38" spans="3:18" x14ac:dyDescent="0.25">
      <c r="C38" s="9"/>
      <c r="D38" s="9"/>
      <c r="E38" s="12"/>
      <c r="K38" s="1"/>
      <c r="Q38" s="1"/>
      <c r="R38" s="1"/>
    </row>
    <row r="39" spans="3:18" x14ac:dyDescent="0.25">
      <c r="C39" s="9"/>
      <c r="D39" s="9"/>
      <c r="E39" s="12"/>
      <c r="K39" s="1"/>
      <c r="Q39" s="1"/>
      <c r="R39" s="1"/>
    </row>
    <row r="40" spans="3:18" x14ac:dyDescent="0.25">
      <c r="C40" s="9"/>
      <c r="D40" s="9"/>
      <c r="E40" s="12"/>
      <c r="K40" s="1"/>
      <c r="Q40" s="1"/>
      <c r="R40" s="1"/>
    </row>
    <row r="41" spans="3:18" x14ac:dyDescent="0.25">
      <c r="C41" s="9"/>
      <c r="D41" s="9"/>
      <c r="E41" s="12"/>
      <c r="K41" s="1"/>
      <c r="Q41" s="1"/>
      <c r="R41" s="1"/>
    </row>
    <row r="42" spans="3:18" x14ac:dyDescent="0.25">
      <c r="C42" s="9"/>
      <c r="D42" s="9"/>
      <c r="E42" s="12"/>
      <c r="K42" s="1"/>
      <c r="Q42" s="1"/>
      <c r="R42" s="1"/>
    </row>
    <row r="43" spans="3:18" x14ac:dyDescent="0.25">
      <c r="C43" s="9"/>
      <c r="D43" s="9"/>
      <c r="E43" s="12"/>
      <c r="K43" s="1"/>
      <c r="Q43" s="1"/>
      <c r="R43" s="1"/>
    </row>
    <row r="44" spans="3:18" x14ac:dyDescent="0.25">
      <c r="C44" s="9"/>
      <c r="D44" s="9"/>
      <c r="E44" s="12"/>
      <c r="K44" s="1"/>
      <c r="Q44" s="1"/>
      <c r="R44" s="1"/>
    </row>
    <row r="45" spans="3:18" x14ac:dyDescent="0.25">
      <c r="C45" s="9"/>
      <c r="D45" s="9"/>
      <c r="E45" s="12"/>
      <c r="K45" s="1"/>
      <c r="Q45" s="1"/>
      <c r="R45" s="1"/>
    </row>
    <row r="46" spans="3:18" x14ac:dyDescent="0.25">
      <c r="C46" s="9"/>
      <c r="D46" s="9"/>
      <c r="E46" s="12"/>
      <c r="K46" s="1"/>
      <c r="Q46" s="1"/>
      <c r="R46" s="1"/>
    </row>
    <row r="47" spans="3:18" x14ac:dyDescent="0.25">
      <c r="C47" s="9"/>
      <c r="D47" s="9"/>
      <c r="E47" s="12"/>
      <c r="K47" s="1"/>
      <c r="Q47" s="1"/>
      <c r="R47" s="1"/>
    </row>
    <row r="48" spans="3:18" x14ac:dyDescent="0.25">
      <c r="C48" s="9"/>
      <c r="D48" s="9"/>
      <c r="E48" s="12"/>
      <c r="K48" s="1"/>
      <c r="Q48" s="1"/>
      <c r="R48" s="1"/>
    </row>
    <row r="49" spans="3:18" x14ac:dyDescent="0.25">
      <c r="C49" s="9"/>
      <c r="D49" s="9"/>
      <c r="E49" s="12"/>
      <c r="K49" s="1"/>
      <c r="Q49" s="1"/>
      <c r="R49" s="1"/>
    </row>
    <row r="50" spans="3:18" x14ac:dyDescent="0.25">
      <c r="C50" s="9"/>
      <c r="D50" s="9"/>
      <c r="E50" s="12"/>
      <c r="K50" s="1"/>
      <c r="Q50" s="1"/>
      <c r="R50" s="1"/>
    </row>
    <row r="51" spans="3:18" x14ac:dyDescent="0.25">
      <c r="C51" s="9"/>
      <c r="D51" s="9"/>
      <c r="E51" s="12"/>
      <c r="K51" s="1"/>
      <c r="Q51" s="1"/>
      <c r="R51" s="1"/>
    </row>
  </sheetData>
  <mergeCells count="7">
    <mergeCell ref="I18:J18"/>
    <mergeCell ref="I2:J2"/>
    <mergeCell ref="I6:J6"/>
    <mergeCell ref="O10:O11"/>
    <mergeCell ref="O8:O9"/>
    <mergeCell ref="N3:N7"/>
    <mergeCell ref="N8:N11"/>
  </mergeCells>
  <dataValidations count="2">
    <dataValidation type="list" allowBlank="1" showInputMessage="1" showErrorMessage="1" sqref="Q7" xr:uid="{21AB5F76-2D32-4BF3-93E5-11D2F2C28D57}">
      <formula1>$I$19:$I$22</formula1>
    </dataValidation>
    <dataValidation type="list" showInputMessage="1" showErrorMessage="1" errorTitle="Empty Component Cells" error="Please choose a component!" sqref="Q6" xr:uid="{F8F586AD-0E95-4A9C-97D8-FE3DB3E98EF8}">
      <formula1>$I$7:$I$16</formula1>
    </dataValidation>
  </dataValidations>
  <pageMargins left="0.7" right="0.7" top="0.75" bottom="0.75" header="0.3" footer="0.3"/>
  <pageSetup paperSize="17" orientation="landscape" r:id="rId1"/>
  <ignoredErrors>
    <ignoredError sqref="Q1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5371-4EE0-480B-8397-4CF6FFE80524}">
  <dimension ref="A1:Z51"/>
  <sheetViews>
    <sheetView topLeftCell="B1" workbookViewId="0">
      <selection activeCell="I26" sqref="I26"/>
    </sheetView>
  </sheetViews>
  <sheetFormatPr defaultRowHeight="15" outlineLevelCol="1" x14ac:dyDescent="0.25"/>
  <cols>
    <col min="1" max="1" width="48.140625" hidden="1" customWidth="1" outlineLevel="1"/>
    <col min="2" max="2" width="3.7109375" style="8" customWidth="1" collapsed="1"/>
    <col min="3" max="3" width="20.5703125" style="8" hidden="1" customWidth="1" outlineLevel="1"/>
    <col min="4" max="4" width="16.42578125" style="8" hidden="1" customWidth="1" outlineLevel="1"/>
    <col min="5" max="5" width="21.28515625" style="10" hidden="1" customWidth="1" outlineLevel="1"/>
    <col min="6" max="6" width="20.28515625" hidden="1" customWidth="1" outlineLevel="1"/>
    <col min="7" max="7" width="3.7109375" style="3" customWidth="1" collapsed="1"/>
    <col min="8" max="8" width="2.7109375" style="3" hidden="1" customWidth="1" outlineLevel="1"/>
    <col min="9" max="9" width="47.85546875" hidden="1" customWidth="1" outlineLevel="1"/>
    <col min="10" max="10" width="21.140625" hidden="1" customWidth="1" outlineLevel="1"/>
    <col min="11" max="11" width="2.7109375" hidden="1" customWidth="1" outlineLevel="1"/>
    <col min="12" max="12" width="3.7109375" customWidth="1" collapsed="1"/>
    <col min="13" max="13" width="2.7109375" style="3" customWidth="1"/>
    <col min="14" max="14" width="3.7109375" customWidth="1"/>
    <col min="15" max="15" width="42.5703125" customWidth="1"/>
    <col min="16" max="16" width="10.42578125" customWidth="1"/>
    <col min="17" max="17" width="49" customWidth="1"/>
    <col min="18" max="18" width="4.7109375" customWidth="1"/>
    <col min="19" max="76" width="2.7109375" customWidth="1"/>
  </cols>
  <sheetData>
    <row r="1" spans="2:26" ht="15.75" thickBot="1" x14ac:dyDescent="0.3">
      <c r="B1" s="2" t="s">
        <v>2</v>
      </c>
      <c r="C1" s="6"/>
      <c r="G1" s="2" t="s">
        <v>2</v>
      </c>
      <c r="L1" s="2" t="s">
        <v>2</v>
      </c>
      <c r="Z1" s="2"/>
    </row>
    <row r="2" spans="2:26" ht="15.75" thickBot="1" x14ac:dyDescent="0.3">
      <c r="B2" t="s">
        <v>35</v>
      </c>
      <c r="C2" s="7"/>
      <c r="D2" s="10"/>
      <c r="E2" s="11"/>
      <c r="G2" t="s">
        <v>36</v>
      </c>
      <c r="I2" s="19" t="s">
        <v>31</v>
      </c>
      <c r="J2" s="19"/>
      <c r="L2" t="s">
        <v>33</v>
      </c>
      <c r="N2" s="52"/>
      <c r="O2" s="53" t="s">
        <v>39</v>
      </c>
      <c r="P2" s="54" t="s">
        <v>34</v>
      </c>
      <c r="Q2" s="55" t="s">
        <v>21</v>
      </c>
      <c r="R2" s="56" t="s">
        <v>18</v>
      </c>
    </row>
    <row r="3" spans="2:26" ht="15.75" customHeight="1" x14ac:dyDescent="0.25">
      <c r="C3" s="9"/>
      <c r="D3" s="9"/>
      <c r="I3" s="13" t="s">
        <v>1</v>
      </c>
      <c r="J3" s="13">
        <f>IF(Q6=$I$7,$J$7,IF(Q6=$I$8,$J$8,IF(Q6=$I$9,$J$9,IF(Q6=$I$10,$J$10,IF(Q6=$I$11,$J$11,IF(Q6=$I$12,$J$12,IF(Q6=$I$13,$J$13,IF(Q6=$I$14,$J$14, IF(Q6=$I$15,$J$15, IF(Q6=$I$16,$J$16))))))))))</f>
        <v>1.26</v>
      </c>
      <c r="N3" s="20" t="s">
        <v>30</v>
      </c>
      <c r="O3" s="48" t="s">
        <v>22</v>
      </c>
      <c r="P3" s="49" t="s">
        <v>0</v>
      </c>
      <c r="Q3" s="50">
        <v>6</v>
      </c>
      <c r="R3" s="51" t="s">
        <v>19</v>
      </c>
    </row>
    <row r="4" spans="2:26" x14ac:dyDescent="0.25">
      <c r="B4" s="9"/>
      <c r="C4" s="9"/>
      <c r="D4" s="9"/>
      <c r="E4" s="12"/>
      <c r="I4" s="13" t="s">
        <v>3</v>
      </c>
      <c r="J4" s="13">
        <f>IF(Q7=$I$19,$J$19,IF(Q7=$I$20,$J$20,IF(Q7=$I$21,$J$21,IF(Q7=$I$22,$J$22))))</f>
        <v>0.5</v>
      </c>
      <c r="N4" s="20"/>
      <c r="O4" s="25" t="s">
        <v>37</v>
      </c>
      <c r="P4" s="32" t="s">
        <v>4</v>
      </c>
      <c r="Q4" s="43">
        <v>2</v>
      </c>
      <c r="R4" s="39" t="s">
        <v>19</v>
      </c>
    </row>
    <row r="5" spans="2:26" x14ac:dyDescent="0.25">
      <c r="B5" s="9"/>
      <c r="C5" s="9"/>
      <c r="D5" s="9"/>
      <c r="E5" s="12"/>
      <c r="I5" s="15"/>
      <c r="J5" s="15"/>
      <c r="N5" s="20"/>
      <c r="O5" s="26" t="s">
        <v>23</v>
      </c>
      <c r="P5" s="33" t="s">
        <v>2</v>
      </c>
      <c r="Q5" s="26">
        <v>1.5</v>
      </c>
      <c r="R5" s="39" t="s">
        <v>19</v>
      </c>
    </row>
    <row r="6" spans="2:26" x14ac:dyDescent="0.25">
      <c r="B6" s="9"/>
      <c r="C6" s="9"/>
      <c r="D6" s="9"/>
      <c r="E6" s="12"/>
      <c r="I6" s="19" t="s">
        <v>32</v>
      </c>
      <c r="J6" s="19"/>
      <c r="N6" s="20"/>
      <c r="O6" s="26" t="s">
        <v>24</v>
      </c>
      <c r="P6" s="32" t="s">
        <v>1</v>
      </c>
      <c r="Q6" s="44" t="s">
        <v>8</v>
      </c>
      <c r="R6" s="39" t="s">
        <v>20</v>
      </c>
    </row>
    <row r="7" spans="2:26" ht="15.75" thickBot="1" x14ac:dyDescent="0.3">
      <c r="B7" s="9"/>
      <c r="C7" s="9"/>
      <c r="D7" s="9"/>
      <c r="E7" s="12"/>
      <c r="I7" s="16" t="s">
        <v>6</v>
      </c>
      <c r="J7" s="17">
        <v>0.75</v>
      </c>
      <c r="N7" s="21"/>
      <c r="O7" s="27" t="s">
        <v>38</v>
      </c>
      <c r="P7" s="34" t="s">
        <v>3</v>
      </c>
      <c r="Q7" s="45" t="s">
        <v>17</v>
      </c>
      <c r="R7" s="40" t="s">
        <v>20</v>
      </c>
    </row>
    <row r="8" spans="2:26" ht="15" customHeight="1" x14ac:dyDescent="0.25">
      <c r="B8" s="9"/>
      <c r="C8" s="9"/>
      <c r="D8" s="9"/>
      <c r="E8" s="12"/>
      <c r="I8" s="16" t="s">
        <v>7</v>
      </c>
      <c r="J8" s="17">
        <v>1</v>
      </c>
      <c r="N8" s="22" t="s">
        <v>29</v>
      </c>
      <c r="O8" s="28" t="s">
        <v>27</v>
      </c>
      <c r="P8" s="35" t="s">
        <v>5</v>
      </c>
      <c r="Q8" s="46">
        <f>0.00022*Q3/J3/J4/Q5/SQRT(Q4)</f>
        <v>9.8770471022882828E-4</v>
      </c>
      <c r="R8" s="41" t="s">
        <v>19</v>
      </c>
    </row>
    <row r="9" spans="2:26" x14ac:dyDescent="0.25">
      <c r="B9" s="9"/>
      <c r="C9" s="9"/>
      <c r="D9" s="9"/>
      <c r="E9" s="12"/>
      <c r="I9" s="16" t="s">
        <v>8</v>
      </c>
      <c r="J9" s="17">
        <v>1.26</v>
      </c>
      <c r="N9" s="23"/>
      <c r="O9" s="29"/>
      <c r="P9" s="36" t="s">
        <v>5</v>
      </c>
      <c r="Q9" s="42">
        <f>Q8*25.4</f>
        <v>2.5087699639812236E-2</v>
      </c>
      <c r="R9" s="39" t="s">
        <v>25</v>
      </c>
    </row>
    <row r="10" spans="2:26" ht="15" customHeight="1" x14ac:dyDescent="0.25">
      <c r="C10" s="9"/>
      <c r="D10" s="9"/>
      <c r="E10" s="12"/>
      <c r="I10" s="16" t="s">
        <v>9</v>
      </c>
      <c r="J10" s="17">
        <v>1</v>
      </c>
      <c r="N10" s="23"/>
      <c r="O10" s="30" t="s">
        <v>28</v>
      </c>
      <c r="P10" s="37" t="s">
        <v>26</v>
      </c>
      <c r="Q10" s="42">
        <f>0.00132*Q3/J3/J4/Q5/SQRT(Q4)</f>
        <v>5.9262282613729697E-3</v>
      </c>
      <c r="R10" s="39" t="s">
        <v>19</v>
      </c>
    </row>
    <row r="11" spans="2:26" ht="15.75" thickBot="1" x14ac:dyDescent="0.3">
      <c r="C11" s="9"/>
      <c r="D11" s="9"/>
      <c r="E11" s="12"/>
      <c r="I11" s="16" t="s">
        <v>10</v>
      </c>
      <c r="J11" s="17">
        <v>2.25</v>
      </c>
      <c r="N11" s="24"/>
      <c r="O11" s="31"/>
      <c r="P11" s="38" t="s">
        <v>26</v>
      </c>
      <c r="Q11" s="47">
        <f t="shared" ref="Q11" si="0">Q10*25.4</f>
        <v>0.15052619783887342</v>
      </c>
      <c r="R11" s="40" t="s">
        <v>25</v>
      </c>
    </row>
    <row r="12" spans="2:26" x14ac:dyDescent="0.25">
      <c r="C12" s="9"/>
      <c r="D12" s="9"/>
      <c r="E12" s="12"/>
      <c r="I12" s="16" t="s">
        <v>14</v>
      </c>
      <c r="J12" s="17">
        <v>1.26</v>
      </c>
      <c r="K12" s="1"/>
      <c r="Q12" s="1"/>
      <c r="R12" s="1"/>
    </row>
    <row r="13" spans="2:26" x14ac:dyDescent="0.25">
      <c r="C13" s="9"/>
      <c r="D13" s="9"/>
      <c r="E13" s="12"/>
      <c r="I13" s="16" t="s">
        <v>11</v>
      </c>
      <c r="J13" s="17">
        <v>1.75</v>
      </c>
      <c r="K13" s="1"/>
      <c r="Q13" s="1"/>
      <c r="R13" s="1"/>
    </row>
    <row r="14" spans="2:26" x14ac:dyDescent="0.25">
      <c r="C14" s="9"/>
      <c r="D14" s="9"/>
      <c r="E14" s="12"/>
      <c r="I14" s="16" t="s">
        <v>12</v>
      </c>
      <c r="J14" s="17">
        <v>0.75</v>
      </c>
      <c r="K14" s="1"/>
      <c r="Q14" s="1"/>
      <c r="R14" s="1"/>
    </row>
    <row r="15" spans="2:26" x14ac:dyDescent="0.25">
      <c r="C15" s="9"/>
      <c r="D15" s="9"/>
      <c r="E15" s="12"/>
      <c r="I15" s="18" t="s">
        <v>40</v>
      </c>
      <c r="J15" s="17">
        <v>1.26</v>
      </c>
      <c r="K15" s="1"/>
      <c r="Q15" s="1"/>
      <c r="R15" s="1"/>
    </row>
    <row r="16" spans="2:26" x14ac:dyDescent="0.25">
      <c r="C16" s="9"/>
      <c r="D16" s="9"/>
      <c r="E16" s="12"/>
      <c r="I16" s="16" t="s">
        <v>13</v>
      </c>
      <c r="J16" s="17">
        <v>2.25</v>
      </c>
      <c r="K16" s="1"/>
      <c r="Q16" s="1"/>
      <c r="R16" s="1"/>
    </row>
    <row r="17" spans="3:18" x14ac:dyDescent="0.25">
      <c r="C17" s="9"/>
      <c r="D17" s="9"/>
      <c r="E17" s="12"/>
      <c r="I17" s="15"/>
      <c r="J17" s="15"/>
      <c r="K17" s="1"/>
      <c r="Q17" s="1"/>
      <c r="R17" s="1"/>
    </row>
    <row r="18" spans="3:18" x14ac:dyDescent="0.25">
      <c r="C18" s="9"/>
      <c r="D18" s="9"/>
      <c r="E18" s="12"/>
      <c r="I18" s="19" t="s">
        <v>32</v>
      </c>
      <c r="J18" s="19"/>
      <c r="K18" s="1"/>
      <c r="Q18" s="1"/>
      <c r="R18" s="1"/>
    </row>
    <row r="19" spans="3:18" x14ac:dyDescent="0.25">
      <c r="C19" s="9"/>
      <c r="D19" s="9"/>
      <c r="E19" s="12"/>
      <c r="I19" s="16" t="s">
        <v>15</v>
      </c>
      <c r="J19" s="17">
        <v>1</v>
      </c>
      <c r="K19" s="1"/>
      <c r="Q19" s="1"/>
      <c r="R19" s="1"/>
    </row>
    <row r="20" spans="3:18" x14ac:dyDescent="0.25">
      <c r="C20" s="9"/>
      <c r="D20" s="9"/>
      <c r="E20" s="12"/>
      <c r="I20" s="16" t="s">
        <v>16</v>
      </c>
      <c r="J20" s="17">
        <v>0.70699999999999996</v>
      </c>
      <c r="K20" s="4"/>
      <c r="Q20" s="1"/>
      <c r="R20" s="1"/>
    </row>
    <row r="21" spans="3:18" x14ac:dyDescent="0.25">
      <c r="C21" s="9"/>
      <c r="D21" s="9"/>
      <c r="E21" s="12"/>
      <c r="I21" s="16" t="s">
        <v>17</v>
      </c>
      <c r="J21" s="17">
        <v>0.5</v>
      </c>
      <c r="K21" s="4"/>
      <c r="Q21" s="1"/>
      <c r="R21" s="1"/>
    </row>
    <row r="22" spans="3:18" x14ac:dyDescent="0.25">
      <c r="C22" s="9"/>
      <c r="D22" s="9"/>
      <c r="E22" s="12"/>
      <c r="I22" s="16" t="s">
        <v>13</v>
      </c>
      <c r="J22" s="17">
        <v>1</v>
      </c>
      <c r="K22" s="1"/>
      <c r="Q22" s="1"/>
      <c r="R22" s="1"/>
    </row>
    <row r="23" spans="3:18" x14ac:dyDescent="0.25">
      <c r="C23" s="9"/>
      <c r="D23" s="9"/>
      <c r="E23" s="12"/>
      <c r="K23" s="1"/>
      <c r="Q23" s="1"/>
      <c r="R23" s="1"/>
    </row>
    <row r="24" spans="3:18" x14ac:dyDescent="0.25">
      <c r="C24" s="9"/>
      <c r="D24" s="9"/>
      <c r="E24" s="12"/>
      <c r="K24" s="1"/>
      <c r="Q24" s="1"/>
      <c r="R24" s="1"/>
    </row>
    <row r="25" spans="3:18" x14ac:dyDescent="0.25">
      <c r="C25" s="9"/>
      <c r="D25" s="9"/>
      <c r="E25" s="12"/>
      <c r="K25" s="1"/>
      <c r="Q25" s="1"/>
      <c r="R25" s="1"/>
    </row>
    <row r="26" spans="3:18" x14ac:dyDescent="0.25">
      <c r="C26" s="9"/>
      <c r="D26" s="9"/>
      <c r="E26" s="12"/>
      <c r="K26" s="1"/>
      <c r="Q26" s="1"/>
      <c r="R26" s="1"/>
    </row>
    <row r="27" spans="3:18" x14ac:dyDescent="0.25">
      <c r="C27" s="9"/>
      <c r="D27" s="9"/>
      <c r="E27" s="12"/>
      <c r="K27" s="1"/>
      <c r="Q27" s="1"/>
      <c r="R27" s="1"/>
    </row>
    <row r="28" spans="3:18" x14ac:dyDescent="0.25">
      <c r="C28" s="9"/>
      <c r="D28" s="9"/>
      <c r="E28" s="12"/>
      <c r="K28" s="14"/>
      <c r="Q28" s="1"/>
      <c r="R28" s="1"/>
    </row>
    <row r="29" spans="3:18" x14ac:dyDescent="0.25">
      <c r="C29" s="9"/>
      <c r="D29" s="9"/>
      <c r="E29" s="12"/>
      <c r="K29" s="1"/>
      <c r="Q29" s="1"/>
      <c r="R29" s="1"/>
    </row>
    <row r="30" spans="3:18" x14ac:dyDescent="0.25">
      <c r="C30" s="9"/>
      <c r="D30" s="9"/>
      <c r="E30" s="12"/>
      <c r="I30" s="5"/>
      <c r="K30" s="1"/>
      <c r="Q30" s="1"/>
      <c r="R30" s="1"/>
    </row>
    <row r="31" spans="3:18" x14ac:dyDescent="0.25">
      <c r="C31" s="9"/>
      <c r="D31" s="9"/>
      <c r="E31" s="12"/>
      <c r="K31" s="1"/>
      <c r="Q31" s="1"/>
      <c r="R31" s="1"/>
    </row>
    <row r="32" spans="3:18" x14ac:dyDescent="0.25">
      <c r="C32" s="9"/>
      <c r="D32" s="9"/>
      <c r="E32" s="12"/>
      <c r="K32" s="1"/>
      <c r="Q32" s="1"/>
      <c r="R32" s="1"/>
    </row>
    <row r="33" spans="3:18" x14ac:dyDescent="0.25">
      <c r="C33" s="9"/>
      <c r="D33" s="9"/>
      <c r="E33" s="12"/>
      <c r="K33" s="1"/>
      <c r="Q33" s="1"/>
      <c r="R33" s="1"/>
    </row>
    <row r="34" spans="3:18" x14ac:dyDescent="0.25">
      <c r="C34" s="9"/>
      <c r="D34" s="9"/>
      <c r="E34" s="12"/>
      <c r="K34" s="1"/>
      <c r="Q34" s="1"/>
      <c r="R34" s="1"/>
    </row>
    <row r="35" spans="3:18" x14ac:dyDescent="0.25">
      <c r="C35" s="9"/>
      <c r="D35" s="9"/>
      <c r="E35" s="12"/>
      <c r="K35" s="1"/>
      <c r="Q35" s="1"/>
      <c r="R35" s="1"/>
    </row>
    <row r="36" spans="3:18" x14ac:dyDescent="0.25">
      <c r="C36" s="9"/>
      <c r="D36" s="9"/>
      <c r="E36" s="12"/>
      <c r="K36" s="1"/>
      <c r="Q36" s="1"/>
      <c r="R36" s="1"/>
    </row>
    <row r="37" spans="3:18" x14ac:dyDescent="0.25">
      <c r="C37" s="9"/>
      <c r="D37" s="9"/>
      <c r="E37" s="12"/>
      <c r="K37" s="1"/>
      <c r="Q37" s="1"/>
      <c r="R37" s="1"/>
    </row>
    <row r="38" spans="3:18" x14ac:dyDescent="0.25">
      <c r="C38" s="9"/>
      <c r="D38" s="9"/>
      <c r="E38" s="12"/>
      <c r="K38" s="1"/>
      <c r="Q38" s="1"/>
      <c r="R38" s="1"/>
    </row>
    <row r="39" spans="3:18" x14ac:dyDescent="0.25">
      <c r="C39" s="9"/>
      <c r="D39" s="9"/>
      <c r="E39" s="12"/>
      <c r="K39" s="1"/>
      <c r="Q39" s="1"/>
      <c r="R39" s="1"/>
    </row>
    <row r="40" spans="3:18" x14ac:dyDescent="0.25">
      <c r="C40" s="9"/>
      <c r="D40" s="9"/>
      <c r="E40" s="12"/>
      <c r="K40" s="1"/>
      <c r="Q40" s="1"/>
      <c r="R40" s="1"/>
    </row>
    <row r="41" spans="3:18" x14ac:dyDescent="0.25">
      <c r="C41" s="9"/>
      <c r="D41" s="9"/>
      <c r="E41" s="12"/>
      <c r="K41" s="1"/>
      <c r="Q41" s="1"/>
      <c r="R41" s="1"/>
    </row>
    <row r="42" spans="3:18" x14ac:dyDescent="0.25">
      <c r="C42" s="9"/>
      <c r="D42" s="9"/>
      <c r="E42" s="12"/>
      <c r="K42" s="1"/>
      <c r="Q42" s="1"/>
      <c r="R42" s="1"/>
    </row>
    <row r="43" spans="3:18" x14ac:dyDescent="0.25">
      <c r="C43" s="9"/>
      <c r="D43" s="9"/>
      <c r="E43" s="12"/>
      <c r="K43" s="1"/>
      <c r="Q43" s="1"/>
      <c r="R43" s="1"/>
    </row>
    <row r="44" spans="3:18" x14ac:dyDescent="0.25">
      <c r="C44" s="9"/>
      <c r="D44" s="9"/>
      <c r="E44" s="12"/>
      <c r="K44" s="1"/>
      <c r="Q44" s="1"/>
      <c r="R44" s="1"/>
    </row>
    <row r="45" spans="3:18" x14ac:dyDescent="0.25">
      <c r="C45" s="9"/>
      <c r="D45" s="9"/>
      <c r="E45" s="12"/>
      <c r="K45" s="1"/>
      <c r="Q45" s="1"/>
      <c r="R45" s="1"/>
    </row>
    <row r="46" spans="3:18" x14ac:dyDescent="0.25">
      <c r="C46" s="9"/>
      <c r="D46" s="9"/>
      <c r="E46" s="12"/>
      <c r="K46" s="1"/>
      <c r="Q46" s="1"/>
      <c r="R46" s="1"/>
    </row>
    <row r="47" spans="3:18" x14ac:dyDescent="0.25">
      <c r="C47" s="9"/>
      <c r="D47" s="9"/>
      <c r="E47" s="12"/>
      <c r="K47" s="1"/>
      <c r="Q47" s="1"/>
      <c r="R47" s="1"/>
    </row>
    <row r="48" spans="3:18" x14ac:dyDescent="0.25">
      <c r="C48" s="9"/>
      <c r="D48" s="9"/>
      <c r="E48" s="12"/>
      <c r="K48" s="1"/>
      <c r="Q48" s="1"/>
      <c r="R48" s="1"/>
    </row>
    <row r="49" spans="3:18" x14ac:dyDescent="0.25">
      <c r="C49" s="9"/>
      <c r="D49" s="9"/>
      <c r="E49" s="12"/>
      <c r="K49" s="1"/>
      <c r="Q49" s="1"/>
      <c r="R49" s="1"/>
    </row>
    <row r="50" spans="3:18" x14ac:dyDescent="0.25">
      <c r="C50" s="9"/>
      <c r="D50" s="9"/>
      <c r="E50" s="12"/>
      <c r="K50" s="1"/>
      <c r="Q50" s="1"/>
      <c r="R50" s="1"/>
    </row>
    <row r="51" spans="3:18" x14ac:dyDescent="0.25">
      <c r="C51" s="9"/>
      <c r="D51" s="9"/>
      <c r="E51" s="12"/>
      <c r="K51" s="1"/>
      <c r="Q51" s="1"/>
      <c r="R51" s="1"/>
    </row>
  </sheetData>
  <mergeCells count="7">
    <mergeCell ref="I18:J18"/>
    <mergeCell ref="I2:J2"/>
    <mergeCell ref="N3:N7"/>
    <mergeCell ref="I6:J6"/>
    <mergeCell ref="N8:N11"/>
    <mergeCell ref="O8:O9"/>
    <mergeCell ref="O10:O11"/>
  </mergeCells>
  <dataValidations count="2">
    <dataValidation type="list" showInputMessage="1" showErrorMessage="1" errorTitle="Empty Component Cells" error="Please choose a component!" sqref="Q6" xr:uid="{D3713F74-FBCE-4063-8CCF-C53BF0BDCADF}">
      <formula1>$I$7:$I$16</formula1>
    </dataValidation>
    <dataValidation type="list" allowBlank="1" showInputMessage="1" showErrorMessage="1" sqref="Q7" xr:uid="{905350BF-E4E3-49BA-A54E-1044FFE6E716}">
      <formula1>$I$19:$I$22</formula1>
    </dataValidation>
  </dataValidations>
  <pageMargins left="0.7" right="0.7" top="0.75" bottom="0.75" header="0.3" footer="0.3"/>
  <pageSetup paperSize="17" orientation="landscape" r:id="rId1"/>
  <ignoredErrors>
    <ignoredError sqref="Q10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A505-A30B-4F6D-B7F3-3EEAF43C6A57}">
  <dimension ref="A1:Z51"/>
  <sheetViews>
    <sheetView topLeftCell="B1" workbookViewId="0">
      <selection activeCell="I26" sqref="I26"/>
    </sheetView>
  </sheetViews>
  <sheetFormatPr defaultRowHeight="15" outlineLevelCol="1" x14ac:dyDescent="0.25"/>
  <cols>
    <col min="1" max="1" width="48.140625" hidden="1" customWidth="1" outlineLevel="1"/>
    <col min="2" max="2" width="3.7109375" style="8" customWidth="1" collapsed="1"/>
    <col min="3" max="3" width="20.5703125" style="8" hidden="1" customWidth="1" outlineLevel="1"/>
    <col min="4" max="4" width="16.42578125" style="8" hidden="1" customWidth="1" outlineLevel="1"/>
    <col min="5" max="5" width="21.28515625" style="10" hidden="1" customWidth="1" outlineLevel="1"/>
    <col min="6" max="6" width="20.28515625" hidden="1" customWidth="1" outlineLevel="1"/>
    <col min="7" max="7" width="3.7109375" style="3" customWidth="1" collapsed="1"/>
    <col min="8" max="8" width="2.7109375" style="3" hidden="1" customWidth="1" outlineLevel="1"/>
    <col min="9" max="9" width="47.85546875" hidden="1" customWidth="1" outlineLevel="1"/>
    <col min="10" max="10" width="21.140625" hidden="1" customWidth="1" outlineLevel="1"/>
    <col min="11" max="11" width="2.7109375" hidden="1" customWidth="1" outlineLevel="1"/>
    <col min="12" max="12" width="3.7109375" customWidth="1" collapsed="1"/>
    <col min="13" max="13" width="2.7109375" style="3" customWidth="1"/>
    <col min="14" max="14" width="3.7109375" customWidth="1"/>
    <col min="15" max="15" width="42.5703125" customWidth="1"/>
    <col min="16" max="16" width="10.42578125" customWidth="1"/>
    <col min="17" max="17" width="49" customWidth="1"/>
    <col min="18" max="18" width="4.7109375" customWidth="1"/>
    <col min="19" max="76" width="2.7109375" customWidth="1"/>
  </cols>
  <sheetData>
    <row r="1" spans="2:26" ht="15.75" thickBot="1" x14ac:dyDescent="0.3">
      <c r="B1" s="2" t="s">
        <v>2</v>
      </c>
      <c r="C1" s="6"/>
      <c r="G1" s="2" t="s">
        <v>2</v>
      </c>
      <c r="L1" s="2" t="s">
        <v>2</v>
      </c>
      <c r="Z1" s="2"/>
    </row>
    <row r="2" spans="2:26" ht="15.75" thickBot="1" x14ac:dyDescent="0.3">
      <c r="B2" t="s">
        <v>35</v>
      </c>
      <c r="C2" s="7"/>
      <c r="D2" s="10"/>
      <c r="E2" s="11"/>
      <c r="G2" t="s">
        <v>36</v>
      </c>
      <c r="I2" s="19" t="s">
        <v>31</v>
      </c>
      <c r="J2" s="19"/>
      <c r="L2" t="s">
        <v>33</v>
      </c>
      <c r="N2" s="52"/>
      <c r="O2" s="53" t="s">
        <v>39</v>
      </c>
      <c r="P2" s="54" t="s">
        <v>34</v>
      </c>
      <c r="Q2" s="55" t="s">
        <v>21</v>
      </c>
      <c r="R2" s="56" t="s">
        <v>18</v>
      </c>
    </row>
    <row r="3" spans="2:26" ht="15.75" customHeight="1" x14ac:dyDescent="0.25">
      <c r="C3" s="9"/>
      <c r="D3" s="9"/>
      <c r="I3" s="13" t="s">
        <v>1</v>
      </c>
      <c r="J3" s="13">
        <f>IF(Q6=$I$7,$J$7,IF(Q6=$I$8,$J$8,IF(Q6=$I$9,$J$9,IF(Q6=$I$10,$J$10,IF(Q6=$I$11,$J$11,IF(Q6=$I$12,$J$12,IF(Q6=$I$13,$J$13,IF(Q6=$I$14,$J$14, IF(Q6=$I$15,$J$15, IF(Q6=$I$16,$J$16))))))))))</f>
        <v>1.26</v>
      </c>
      <c r="N3" s="20" t="s">
        <v>30</v>
      </c>
      <c r="O3" s="48" t="s">
        <v>22</v>
      </c>
      <c r="P3" s="49" t="s">
        <v>0</v>
      </c>
      <c r="Q3" s="50">
        <v>6</v>
      </c>
      <c r="R3" s="51" t="s">
        <v>19</v>
      </c>
    </row>
    <row r="4" spans="2:26" x14ac:dyDescent="0.25">
      <c r="B4" s="9"/>
      <c r="C4" s="9"/>
      <c r="D4" s="9"/>
      <c r="E4" s="12"/>
      <c r="I4" s="13" t="s">
        <v>3</v>
      </c>
      <c r="J4" s="13">
        <f>IF(Q7=$I$19,$J$19,IF(Q7=$I$20,$J$20,IF(Q7=$I$21,$J$21,IF(Q7=$I$22,$J$22))))</f>
        <v>0.5</v>
      </c>
      <c r="N4" s="20"/>
      <c r="O4" s="25" t="s">
        <v>37</v>
      </c>
      <c r="P4" s="32" t="s">
        <v>4</v>
      </c>
      <c r="Q4" s="43">
        <v>2</v>
      </c>
      <c r="R4" s="39" t="s">
        <v>19</v>
      </c>
    </row>
    <row r="5" spans="2:26" x14ac:dyDescent="0.25">
      <c r="B5" s="9"/>
      <c r="C5" s="9"/>
      <c r="D5" s="9"/>
      <c r="E5" s="12"/>
      <c r="I5" s="15"/>
      <c r="J5" s="15"/>
      <c r="N5" s="20"/>
      <c r="O5" s="26" t="s">
        <v>23</v>
      </c>
      <c r="P5" s="33" t="s">
        <v>2</v>
      </c>
      <c r="Q5" s="26">
        <v>1.5</v>
      </c>
      <c r="R5" s="39" t="s">
        <v>19</v>
      </c>
    </row>
    <row r="6" spans="2:26" x14ac:dyDescent="0.25">
      <c r="B6" s="9"/>
      <c r="C6" s="9"/>
      <c r="D6" s="9"/>
      <c r="E6" s="12"/>
      <c r="I6" s="19" t="s">
        <v>32</v>
      </c>
      <c r="J6" s="19"/>
      <c r="N6" s="20"/>
      <c r="O6" s="26" t="s">
        <v>24</v>
      </c>
      <c r="P6" s="32" t="s">
        <v>1</v>
      </c>
      <c r="Q6" s="44" t="s">
        <v>8</v>
      </c>
      <c r="R6" s="39" t="s">
        <v>20</v>
      </c>
    </row>
    <row r="7" spans="2:26" ht="15.75" thickBot="1" x14ac:dyDescent="0.3">
      <c r="B7" s="9"/>
      <c r="C7" s="9"/>
      <c r="D7" s="9"/>
      <c r="E7" s="12"/>
      <c r="I7" s="16" t="s">
        <v>6</v>
      </c>
      <c r="J7" s="17">
        <v>0.75</v>
      </c>
      <c r="N7" s="21"/>
      <c r="O7" s="27" t="s">
        <v>38</v>
      </c>
      <c r="P7" s="34" t="s">
        <v>3</v>
      </c>
      <c r="Q7" s="45" t="s">
        <v>17</v>
      </c>
      <c r="R7" s="40" t="s">
        <v>20</v>
      </c>
    </row>
    <row r="8" spans="2:26" ht="15" customHeight="1" x14ac:dyDescent="0.25">
      <c r="B8" s="9"/>
      <c r="C8" s="9"/>
      <c r="D8" s="9"/>
      <c r="E8" s="12"/>
      <c r="I8" s="16" t="s">
        <v>7</v>
      </c>
      <c r="J8" s="17">
        <v>1</v>
      </c>
      <c r="N8" s="22" t="s">
        <v>29</v>
      </c>
      <c r="O8" s="28" t="s">
        <v>27</v>
      </c>
      <c r="P8" s="35" t="s">
        <v>5</v>
      </c>
      <c r="Q8" s="46">
        <f>0.00022*Q3/J3/J4/Q5/SQRT(Q4)</f>
        <v>9.8770471022882828E-4</v>
      </c>
      <c r="R8" s="41" t="s">
        <v>19</v>
      </c>
    </row>
    <row r="9" spans="2:26" x14ac:dyDescent="0.25">
      <c r="B9" s="9"/>
      <c r="C9" s="9"/>
      <c r="D9" s="9"/>
      <c r="E9" s="12"/>
      <c r="I9" s="16" t="s">
        <v>8</v>
      </c>
      <c r="J9" s="17">
        <v>1.26</v>
      </c>
      <c r="N9" s="23"/>
      <c r="O9" s="29"/>
      <c r="P9" s="36" t="s">
        <v>5</v>
      </c>
      <c r="Q9" s="42">
        <f>Q8*25.4</f>
        <v>2.5087699639812236E-2</v>
      </c>
      <c r="R9" s="39" t="s">
        <v>25</v>
      </c>
    </row>
    <row r="10" spans="2:26" ht="15" customHeight="1" x14ac:dyDescent="0.25">
      <c r="C10" s="9"/>
      <c r="D10" s="9"/>
      <c r="E10" s="12"/>
      <c r="I10" s="16" t="s">
        <v>9</v>
      </c>
      <c r="J10" s="17">
        <v>1</v>
      </c>
      <c r="N10" s="23"/>
      <c r="O10" s="30" t="s">
        <v>28</v>
      </c>
      <c r="P10" s="37" t="s">
        <v>26</v>
      </c>
      <c r="Q10" s="42">
        <f>0.00132*Q3/J3/J4/Q5/SQRT(Q4)</f>
        <v>5.9262282613729697E-3</v>
      </c>
      <c r="R10" s="39" t="s">
        <v>19</v>
      </c>
    </row>
    <row r="11" spans="2:26" ht="15.75" thickBot="1" x14ac:dyDescent="0.3">
      <c r="C11" s="9"/>
      <c r="D11" s="9"/>
      <c r="E11" s="12"/>
      <c r="I11" s="16" t="s">
        <v>10</v>
      </c>
      <c r="J11" s="17">
        <v>2.25</v>
      </c>
      <c r="N11" s="24"/>
      <c r="O11" s="31"/>
      <c r="P11" s="38" t="s">
        <v>26</v>
      </c>
      <c r="Q11" s="47">
        <f t="shared" ref="Q11" si="0">Q10*25.4</f>
        <v>0.15052619783887342</v>
      </c>
      <c r="R11" s="40" t="s">
        <v>25</v>
      </c>
    </row>
    <row r="12" spans="2:26" x14ac:dyDescent="0.25">
      <c r="C12" s="9"/>
      <c r="D12" s="9"/>
      <c r="E12" s="12"/>
      <c r="I12" s="16" t="s">
        <v>14</v>
      </c>
      <c r="J12" s="17">
        <v>1.26</v>
      </c>
      <c r="K12" s="1"/>
      <c r="Q12" s="1"/>
      <c r="R12" s="1"/>
    </row>
    <row r="13" spans="2:26" x14ac:dyDescent="0.25">
      <c r="C13" s="9"/>
      <c r="D13" s="9"/>
      <c r="E13" s="12"/>
      <c r="I13" s="16" t="s">
        <v>11</v>
      </c>
      <c r="J13" s="17">
        <v>1.75</v>
      </c>
      <c r="K13" s="1"/>
      <c r="Q13" s="1"/>
      <c r="R13" s="1"/>
    </row>
    <row r="14" spans="2:26" x14ac:dyDescent="0.25">
      <c r="C14" s="9"/>
      <c r="D14" s="9"/>
      <c r="E14" s="12"/>
      <c r="I14" s="16" t="s">
        <v>12</v>
      </c>
      <c r="J14" s="17">
        <v>0.75</v>
      </c>
      <c r="K14" s="1"/>
      <c r="Q14" s="1"/>
      <c r="R14" s="1"/>
    </row>
    <row r="15" spans="2:26" x14ac:dyDescent="0.25">
      <c r="C15" s="9"/>
      <c r="D15" s="9"/>
      <c r="E15" s="12"/>
      <c r="I15" s="18" t="s">
        <v>40</v>
      </c>
      <c r="J15" s="17">
        <v>1.26</v>
      </c>
      <c r="K15" s="1"/>
      <c r="Q15" s="1"/>
      <c r="R15" s="1"/>
    </row>
    <row r="16" spans="2:26" x14ac:dyDescent="0.25">
      <c r="C16" s="9"/>
      <c r="D16" s="9"/>
      <c r="E16" s="12"/>
      <c r="I16" s="16" t="s">
        <v>13</v>
      </c>
      <c r="J16" s="17">
        <v>2.25</v>
      </c>
      <c r="K16" s="1"/>
      <c r="Q16" s="1"/>
      <c r="R16" s="1"/>
    </row>
    <row r="17" spans="3:18" x14ac:dyDescent="0.25">
      <c r="C17" s="9"/>
      <c r="D17" s="9"/>
      <c r="E17" s="12"/>
      <c r="I17" s="15"/>
      <c r="J17" s="15"/>
      <c r="K17" s="1"/>
      <c r="Q17" s="1"/>
      <c r="R17" s="1"/>
    </row>
    <row r="18" spans="3:18" x14ac:dyDescent="0.25">
      <c r="C18" s="9"/>
      <c r="D18" s="9"/>
      <c r="E18" s="12"/>
      <c r="I18" s="19" t="s">
        <v>32</v>
      </c>
      <c r="J18" s="19"/>
      <c r="K18" s="1"/>
      <c r="Q18" s="1"/>
      <c r="R18" s="1"/>
    </row>
    <row r="19" spans="3:18" x14ac:dyDescent="0.25">
      <c r="C19" s="9"/>
      <c r="D19" s="9"/>
      <c r="E19" s="12"/>
      <c r="I19" s="16" t="s">
        <v>15</v>
      </c>
      <c r="J19" s="17">
        <v>1</v>
      </c>
      <c r="K19" s="1"/>
      <c r="Q19" s="1"/>
      <c r="R19" s="1"/>
    </row>
    <row r="20" spans="3:18" x14ac:dyDescent="0.25">
      <c r="C20" s="9"/>
      <c r="D20" s="9"/>
      <c r="E20" s="12"/>
      <c r="I20" s="16" t="s">
        <v>16</v>
      </c>
      <c r="J20" s="17">
        <v>0.70699999999999996</v>
      </c>
      <c r="K20" s="4"/>
      <c r="Q20" s="1"/>
      <c r="R20" s="1"/>
    </row>
    <row r="21" spans="3:18" x14ac:dyDescent="0.25">
      <c r="C21" s="9"/>
      <c r="D21" s="9"/>
      <c r="E21" s="12"/>
      <c r="I21" s="16" t="s">
        <v>17</v>
      </c>
      <c r="J21" s="17">
        <v>0.5</v>
      </c>
      <c r="K21" s="4"/>
      <c r="Q21" s="1"/>
      <c r="R21" s="1"/>
    </row>
    <row r="22" spans="3:18" x14ac:dyDescent="0.25">
      <c r="C22" s="9"/>
      <c r="D22" s="9"/>
      <c r="E22" s="12"/>
      <c r="I22" s="16" t="s">
        <v>13</v>
      </c>
      <c r="J22" s="17">
        <v>1</v>
      </c>
      <c r="K22" s="1"/>
      <c r="Q22" s="1"/>
      <c r="R22" s="1"/>
    </row>
    <row r="23" spans="3:18" x14ac:dyDescent="0.25">
      <c r="C23" s="9"/>
      <c r="D23" s="9"/>
      <c r="E23" s="12"/>
      <c r="K23" s="1"/>
      <c r="Q23" s="1"/>
      <c r="R23" s="1"/>
    </row>
    <row r="24" spans="3:18" x14ac:dyDescent="0.25">
      <c r="C24" s="9"/>
      <c r="D24" s="9"/>
      <c r="E24" s="12"/>
      <c r="K24" s="1"/>
      <c r="Q24" s="1"/>
      <c r="R24" s="1"/>
    </row>
    <row r="25" spans="3:18" x14ac:dyDescent="0.25">
      <c r="C25" s="9"/>
      <c r="D25" s="9"/>
      <c r="E25" s="12"/>
      <c r="K25" s="1"/>
      <c r="Q25" s="1"/>
      <c r="R25" s="1"/>
    </row>
    <row r="26" spans="3:18" x14ac:dyDescent="0.25">
      <c r="C26" s="9"/>
      <c r="D26" s="9"/>
      <c r="E26" s="12"/>
      <c r="K26" s="1"/>
      <c r="Q26" s="1"/>
      <c r="R26" s="1"/>
    </row>
    <row r="27" spans="3:18" x14ac:dyDescent="0.25">
      <c r="C27" s="9"/>
      <c r="D27" s="9"/>
      <c r="E27" s="12"/>
      <c r="K27" s="1"/>
      <c r="Q27" s="1"/>
      <c r="R27" s="1"/>
    </row>
    <row r="28" spans="3:18" x14ac:dyDescent="0.25">
      <c r="C28" s="9"/>
      <c r="D28" s="9"/>
      <c r="E28" s="12"/>
      <c r="K28" s="14"/>
      <c r="Q28" s="1"/>
      <c r="R28" s="1"/>
    </row>
    <row r="29" spans="3:18" x14ac:dyDescent="0.25">
      <c r="C29" s="9"/>
      <c r="D29" s="9"/>
      <c r="E29" s="12"/>
      <c r="K29" s="1"/>
      <c r="Q29" s="1"/>
      <c r="R29" s="1"/>
    </row>
    <row r="30" spans="3:18" x14ac:dyDescent="0.25">
      <c r="C30" s="9"/>
      <c r="D30" s="9"/>
      <c r="E30" s="12"/>
      <c r="I30" s="5"/>
      <c r="K30" s="1"/>
      <c r="Q30" s="1"/>
      <c r="R30" s="1"/>
    </row>
    <row r="31" spans="3:18" x14ac:dyDescent="0.25">
      <c r="C31" s="9"/>
      <c r="D31" s="9"/>
      <c r="E31" s="12"/>
      <c r="K31" s="1"/>
      <c r="Q31" s="1"/>
      <c r="R31" s="1"/>
    </row>
    <row r="32" spans="3:18" x14ac:dyDescent="0.25">
      <c r="C32" s="9"/>
      <c r="D32" s="9"/>
      <c r="E32" s="12"/>
      <c r="K32" s="1"/>
      <c r="Q32" s="1"/>
      <c r="R32" s="1"/>
    </row>
    <row r="33" spans="3:18" x14ac:dyDescent="0.25">
      <c r="C33" s="9"/>
      <c r="D33" s="9"/>
      <c r="E33" s="12"/>
      <c r="K33" s="1"/>
      <c r="Q33" s="1"/>
      <c r="R33" s="1"/>
    </row>
    <row r="34" spans="3:18" x14ac:dyDescent="0.25">
      <c r="C34" s="9"/>
      <c r="D34" s="9"/>
      <c r="E34" s="12"/>
      <c r="K34" s="1"/>
      <c r="Q34" s="1"/>
      <c r="R34" s="1"/>
    </row>
    <row r="35" spans="3:18" x14ac:dyDescent="0.25">
      <c r="C35" s="9"/>
      <c r="D35" s="9"/>
      <c r="E35" s="12"/>
      <c r="K35" s="1"/>
      <c r="Q35" s="1"/>
      <c r="R35" s="1"/>
    </row>
    <row r="36" spans="3:18" x14ac:dyDescent="0.25">
      <c r="C36" s="9"/>
      <c r="D36" s="9"/>
      <c r="E36" s="12"/>
      <c r="K36" s="1"/>
      <c r="Q36" s="1"/>
      <c r="R36" s="1"/>
    </row>
    <row r="37" spans="3:18" x14ac:dyDescent="0.25">
      <c r="C37" s="9"/>
      <c r="D37" s="9"/>
      <c r="E37" s="12"/>
      <c r="K37" s="1"/>
      <c r="Q37" s="1"/>
      <c r="R37" s="1"/>
    </row>
    <row r="38" spans="3:18" x14ac:dyDescent="0.25">
      <c r="C38" s="9"/>
      <c r="D38" s="9"/>
      <c r="E38" s="12"/>
      <c r="K38" s="1"/>
      <c r="Q38" s="1"/>
      <c r="R38" s="1"/>
    </row>
    <row r="39" spans="3:18" x14ac:dyDescent="0.25">
      <c r="C39" s="9"/>
      <c r="D39" s="9"/>
      <c r="E39" s="12"/>
      <c r="K39" s="1"/>
      <c r="Q39" s="1"/>
      <c r="R39" s="1"/>
    </row>
    <row r="40" spans="3:18" x14ac:dyDescent="0.25">
      <c r="C40" s="9"/>
      <c r="D40" s="9"/>
      <c r="E40" s="12"/>
      <c r="K40" s="1"/>
      <c r="Q40" s="1"/>
      <c r="R40" s="1"/>
    </row>
    <row r="41" spans="3:18" x14ac:dyDescent="0.25">
      <c r="C41" s="9"/>
      <c r="D41" s="9"/>
      <c r="E41" s="12"/>
      <c r="K41" s="1"/>
      <c r="Q41" s="1"/>
      <c r="R41" s="1"/>
    </row>
    <row r="42" spans="3:18" x14ac:dyDescent="0.25">
      <c r="C42" s="9"/>
      <c r="D42" s="9"/>
      <c r="E42" s="12"/>
      <c r="K42" s="1"/>
      <c r="Q42" s="1"/>
      <c r="R42" s="1"/>
    </row>
    <row r="43" spans="3:18" x14ac:dyDescent="0.25">
      <c r="C43" s="9"/>
      <c r="D43" s="9"/>
      <c r="E43" s="12"/>
      <c r="K43" s="1"/>
      <c r="Q43" s="1"/>
      <c r="R43" s="1"/>
    </row>
    <row r="44" spans="3:18" x14ac:dyDescent="0.25">
      <c r="C44" s="9"/>
      <c r="D44" s="9"/>
      <c r="E44" s="12"/>
      <c r="K44" s="1"/>
      <c r="Q44" s="1"/>
      <c r="R44" s="1"/>
    </row>
    <row r="45" spans="3:18" x14ac:dyDescent="0.25">
      <c r="C45" s="9"/>
      <c r="D45" s="9"/>
      <c r="E45" s="12"/>
      <c r="K45" s="1"/>
      <c r="Q45" s="1"/>
      <c r="R45" s="1"/>
    </row>
    <row r="46" spans="3:18" x14ac:dyDescent="0.25">
      <c r="C46" s="9"/>
      <c r="D46" s="9"/>
      <c r="E46" s="12"/>
      <c r="K46" s="1"/>
      <c r="Q46" s="1"/>
      <c r="R46" s="1"/>
    </row>
    <row r="47" spans="3:18" x14ac:dyDescent="0.25">
      <c r="C47" s="9"/>
      <c r="D47" s="9"/>
      <c r="E47" s="12"/>
      <c r="K47" s="1"/>
      <c r="Q47" s="1"/>
      <c r="R47" s="1"/>
    </row>
    <row r="48" spans="3:18" x14ac:dyDescent="0.25">
      <c r="C48" s="9"/>
      <c r="D48" s="9"/>
      <c r="E48" s="12"/>
      <c r="K48" s="1"/>
      <c r="Q48" s="1"/>
      <c r="R48" s="1"/>
    </row>
    <row r="49" spans="3:18" x14ac:dyDescent="0.25">
      <c r="C49" s="9"/>
      <c r="D49" s="9"/>
      <c r="E49" s="12"/>
      <c r="K49" s="1"/>
      <c r="Q49" s="1"/>
      <c r="R49" s="1"/>
    </row>
    <row r="50" spans="3:18" x14ac:dyDescent="0.25">
      <c r="C50" s="9"/>
      <c r="D50" s="9"/>
      <c r="E50" s="12"/>
      <c r="K50" s="1"/>
      <c r="Q50" s="1"/>
      <c r="R50" s="1"/>
    </row>
    <row r="51" spans="3:18" x14ac:dyDescent="0.25">
      <c r="C51" s="9"/>
      <c r="D51" s="9"/>
      <c r="E51" s="12"/>
      <c r="K51" s="1"/>
      <c r="Q51" s="1"/>
      <c r="R51" s="1"/>
    </row>
  </sheetData>
  <mergeCells count="7">
    <mergeCell ref="I18:J18"/>
    <mergeCell ref="I2:J2"/>
    <mergeCell ref="N3:N7"/>
    <mergeCell ref="I6:J6"/>
    <mergeCell ref="N8:N11"/>
    <mergeCell ref="O8:O9"/>
    <mergeCell ref="O10:O11"/>
  </mergeCells>
  <dataValidations count="2">
    <dataValidation type="list" allowBlank="1" showInputMessage="1" showErrorMessage="1" sqref="Q7" xr:uid="{2B475741-F52E-40DF-BC3A-8B60C3E02B9A}">
      <formula1>$I$19:$I$22</formula1>
    </dataValidation>
    <dataValidation type="list" showInputMessage="1" showErrorMessage="1" errorTitle="Empty Component Cells" error="Please choose a component!" sqref="Q6" xr:uid="{0B6A0735-DA6F-45D4-BBF9-DE7C82C95144}">
      <formula1>$I$7:$I$16</formula1>
    </dataValidation>
  </dataValidations>
  <pageMargins left="0.7" right="0.7" top="0.75" bottom="0.75" header="0.3" footer="0.3"/>
  <pageSetup paperSize="17" orientation="landscape" r:id="rId1"/>
  <ignoredErrors>
    <ignoredError sqref="Q10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F18C-40CB-482E-A1D2-B0AB87D343C7}">
  <dimension ref="A1:Z51"/>
  <sheetViews>
    <sheetView tabSelected="1" topLeftCell="B1" workbookViewId="0">
      <selection activeCell="O21" sqref="O21"/>
    </sheetView>
  </sheetViews>
  <sheetFormatPr defaultRowHeight="15" outlineLevelCol="1" x14ac:dyDescent="0.25"/>
  <cols>
    <col min="1" max="1" width="48.140625" hidden="1" customWidth="1" outlineLevel="1"/>
    <col min="2" max="2" width="3.7109375" style="8" customWidth="1" collapsed="1"/>
    <col min="3" max="3" width="20.5703125" style="8" hidden="1" customWidth="1" outlineLevel="1"/>
    <col min="4" max="4" width="16.42578125" style="8" hidden="1" customWidth="1" outlineLevel="1"/>
    <col min="5" max="5" width="21.28515625" style="10" hidden="1" customWidth="1" outlineLevel="1"/>
    <col min="6" max="6" width="20.28515625" hidden="1" customWidth="1" outlineLevel="1"/>
    <col min="7" max="7" width="3.7109375" style="3" customWidth="1" collapsed="1"/>
    <col min="8" max="8" width="2.7109375" style="3" hidden="1" customWidth="1" outlineLevel="1"/>
    <col min="9" max="9" width="47.85546875" hidden="1" customWidth="1" outlineLevel="1"/>
    <col min="10" max="10" width="21.140625" hidden="1" customWidth="1" outlineLevel="1"/>
    <col min="11" max="11" width="2.7109375" hidden="1" customWidth="1" outlineLevel="1"/>
    <col min="12" max="12" width="3.7109375" customWidth="1" collapsed="1"/>
    <col min="13" max="13" width="2.7109375" style="3" customWidth="1"/>
    <col min="14" max="14" width="3.7109375" customWidth="1"/>
    <col min="15" max="15" width="42.5703125" customWidth="1"/>
    <col min="16" max="16" width="10.42578125" customWidth="1"/>
    <col min="17" max="17" width="49" customWidth="1"/>
    <col min="18" max="18" width="4.7109375" customWidth="1"/>
    <col min="19" max="76" width="2.7109375" customWidth="1"/>
  </cols>
  <sheetData>
    <row r="1" spans="2:26" ht="15.75" thickBot="1" x14ac:dyDescent="0.3">
      <c r="B1" s="2" t="s">
        <v>2</v>
      </c>
      <c r="C1" s="6"/>
      <c r="G1" s="2" t="s">
        <v>2</v>
      </c>
      <c r="L1" s="2" t="s">
        <v>2</v>
      </c>
      <c r="Z1" s="2"/>
    </row>
    <row r="2" spans="2:26" ht="15.75" thickBot="1" x14ac:dyDescent="0.3">
      <c r="B2" t="s">
        <v>35</v>
      </c>
      <c r="C2" s="7"/>
      <c r="D2" s="10"/>
      <c r="E2" s="11"/>
      <c r="G2" t="s">
        <v>36</v>
      </c>
      <c r="I2" s="19" t="s">
        <v>31</v>
      </c>
      <c r="J2" s="19"/>
      <c r="L2" t="s">
        <v>33</v>
      </c>
      <c r="N2" s="52"/>
      <c r="O2" s="53" t="s">
        <v>39</v>
      </c>
      <c r="P2" s="54" t="s">
        <v>34</v>
      </c>
      <c r="Q2" s="55" t="s">
        <v>21</v>
      </c>
      <c r="R2" s="56" t="s">
        <v>18</v>
      </c>
    </row>
    <row r="3" spans="2:26" ht="15.75" customHeight="1" x14ac:dyDescent="0.25">
      <c r="C3" s="9"/>
      <c r="D3" s="9"/>
      <c r="I3" s="13" t="s">
        <v>1</v>
      </c>
      <c r="J3" s="13">
        <f>IF(Q6=$I$7,$J$7,IF(Q6=$I$8,$J$8,IF(Q6=$I$9,$J$9,IF(Q6=$I$10,$J$10,IF(Q6=$I$11,$J$11,IF(Q6=$I$12,$J$12,IF(Q6=$I$13,$J$13,IF(Q6=$I$14,$J$14, IF(Q6=$I$15,$J$15, IF(Q6=$I$16,$J$16))))))))))</f>
        <v>1.26</v>
      </c>
      <c r="N3" s="20" t="s">
        <v>30</v>
      </c>
      <c r="O3" s="48" t="s">
        <v>22</v>
      </c>
      <c r="P3" s="49" t="s">
        <v>0</v>
      </c>
      <c r="Q3" s="50">
        <v>6</v>
      </c>
      <c r="R3" s="51" t="s">
        <v>19</v>
      </c>
    </row>
    <row r="4" spans="2:26" x14ac:dyDescent="0.25">
      <c r="B4" s="9"/>
      <c r="C4" s="9"/>
      <c r="D4" s="9"/>
      <c r="E4" s="12"/>
      <c r="I4" s="13" t="s">
        <v>3</v>
      </c>
      <c r="J4" s="13">
        <f>IF(Q7=$I$19,$J$19,IF(Q7=$I$20,$J$20,IF(Q7=$I$21,$J$21,IF(Q7=$I$22,$J$22))))</f>
        <v>0.5</v>
      </c>
      <c r="N4" s="20"/>
      <c r="O4" s="25" t="s">
        <v>37</v>
      </c>
      <c r="P4" s="32" t="s">
        <v>4</v>
      </c>
      <c r="Q4" s="43">
        <v>2</v>
      </c>
      <c r="R4" s="39" t="s">
        <v>19</v>
      </c>
    </row>
    <row r="5" spans="2:26" x14ac:dyDescent="0.25">
      <c r="B5" s="9"/>
      <c r="C5" s="9"/>
      <c r="D5" s="9"/>
      <c r="E5" s="12"/>
      <c r="I5" s="15"/>
      <c r="J5" s="15"/>
      <c r="N5" s="20"/>
      <c r="O5" s="26" t="s">
        <v>23</v>
      </c>
      <c r="P5" s="33" t="s">
        <v>2</v>
      </c>
      <c r="Q5" s="26">
        <v>1.5</v>
      </c>
      <c r="R5" s="39" t="s">
        <v>19</v>
      </c>
    </row>
    <row r="6" spans="2:26" x14ac:dyDescent="0.25">
      <c r="B6" s="9"/>
      <c r="C6" s="9"/>
      <c r="D6" s="9"/>
      <c r="E6" s="12"/>
      <c r="I6" s="19" t="s">
        <v>32</v>
      </c>
      <c r="J6" s="19"/>
      <c r="N6" s="20"/>
      <c r="O6" s="26" t="s">
        <v>24</v>
      </c>
      <c r="P6" s="32" t="s">
        <v>1</v>
      </c>
      <c r="Q6" s="44" t="s">
        <v>40</v>
      </c>
      <c r="R6" s="39" t="s">
        <v>20</v>
      </c>
    </row>
    <row r="7" spans="2:26" ht="15.75" thickBot="1" x14ac:dyDescent="0.3">
      <c r="B7" s="9"/>
      <c r="C7" s="9"/>
      <c r="D7" s="9"/>
      <c r="E7" s="12"/>
      <c r="I7" s="16" t="s">
        <v>6</v>
      </c>
      <c r="J7" s="17">
        <v>0.75</v>
      </c>
      <c r="N7" s="21"/>
      <c r="O7" s="27" t="s">
        <v>38</v>
      </c>
      <c r="P7" s="34" t="s">
        <v>3</v>
      </c>
      <c r="Q7" s="45" t="s">
        <v>17</v>
      </c>
      <c r="R7" s="40" t="s">
        <v>20</v>
      </c>
    </row>
    <row r="8" spans="2:26" ht="15" customHeight="1" x14ac:dyDescent="0.25">
      <c r="B8" s="9"/>
      <c r="C8" s="9"/>
      <c r="D8" s="9"/>
      <c r="E8" s="12"/>
      <c r="I8" s="16" t="s">
        <v>7</v>
      </c>
      <c r="J8" s="17">
        <v>1</v>
      </c>
      <c r="N8" s="22" t="s">
        <v>29</v>
      </c>
      <c r="O8" s="28" t="s">
        <v>27</v>
      </c>
      <c r="P8" s="35" t="s">
        <v>5</v>
      </c>
      <c r="Q8" s="46">
        <f>0.00022*Q3/J3/J4/Q5/SQRT(Q4)</f>
        <v>9.8770471022882828E-4</v>
      </c>
      <c r="R8" s="41" t="s">
        <v>19</v>
      </c>
    </row>
    <row r="9" spans="2:26" x14ac:dyDescent="0.25">
      <c r="B9" s="9"/>
      <c r="C9" s="9"/>
      <c r="D9" s="9"/>
      <c r="E9" s="12"/>
      <c r="I9" s="16" t="s">
        <v>8</v>
      </c>
      <c r="J9" s="17">
        <v>1.26</v>
      </c>
      <c r="N9" s="23"/>
      <c r="O9" s="29"/>
      <c r="P9" s="36" t="s">
        <v>5</v>
      </c>
      <c r="Q9" s="42">
        <f>Q8*25.4</f>
        <v>2.5087699639812236E-2</v>
      </c>
      <c r="R9" s="39" t="s">
        <v>25</v>
      </c>
    </row>
    <row r="10" spans="2:26" ht="15" customHeight="1" x14ac:dyDescent="0.25">
      <c r="C10" s="9"/>
      <c r="D10" s="9"/>
      <c r="E10" s="12"/>
      <c r="I10" s="16" t="s">
        <v>9</v>
      </c>
      <c r="J10" s="17">
        <v>1</v>
      </c>
      <c r="N10" s="23"/>
      <c r="O10" s="30" t="s">
        <v>28</v>
      </c>
      <c r="P10" s="37" t="s">
        <v>26</v>
      </c>
      <c r="Q10" s="42">
        <f>0.00132*Q3/J3/J4/Q5/SQRT(Q4)</f>
        <v>5.9262282613729697E-3</v>
      </c>
      <c r="R10" s="39" t="s">
        <v>19</v>
      </c>
    </row>
    <row r="11" spans="2:26" ht="15.75" thickBot="1" x14ac:dyDescent="0.3">
      <c r="C11" s="9"/>
      <c r="D11" s="9"/>
      <c r="E11" s="12"/>
      <c r="I11" s="16" t="s">
        <v>10</v>
      </c>
      <c r="J11" s="17">
        <v>2.25</v>
      </c>
      <c r="N11" s="24"/>
      <c r="O11" s="31"/>
      <c r="P11" s="38" t="s">
        <v>26</v>
      </c>
      <c r="Q11" s="47">
        <f t="shared" ref="Q11" si="0">Q10*25.4</f>
        <v>0.15052619783887342</v>
      </c>
      <c r="R11" s="40" t="s">
        <v>25</v>
      </c>
    </row>
    <row r="12" spans="2:26" x14ac:dyDescent="0.25">
      <c r="C12" s="9"/>
      <c r="D12" s="9"/>
      <c r="E12" s="12"/>
      <c r="I12" s="16" t="s">
        <v>14</v>
      </c>
      <c r="J12" s="17">
        <v>1.26</v>
      </c>
      <c r="K12" s="1"/>
      <c r="Q12" s="1"/>
      <c r="R12" s="1"/>
    </row>
    <row r="13" spans="2:26" x14ac:dyDescent="0.25">
      <c r="C13" s="9"/>
      <c r="D13" s="9"/>
      <c r="E13" s="12"/>
      <c r="I13" s="16" t="s">
        <v>11</v>
      </c>
      <c r="J13" s="17">
        <v>1.75</v>
      </c>
      <c r="K13" s="1"/>
      <c r="Q13" s="1"/>
      <c r="R13" s="1"/>
    </row>
    <row r="14" spans="2:26" x14ac:dyDescent="0.25">
      <c r="C14" s="9"/>
      <c r="D14" s="9"/>
      <c r="E14" s="12"/>
      <c r="I14" s="16" t="s">
        <v>12</v>
      </c>
      <c r="J14" s="17">
        <v>0.75</v>
      </c>
      <c r="K14" s="1"/>
      <c r="Q14" s="1"/>
      <c r="R14" s="1"/>
    </row>
    <row r="15" spans="2:26" x14ac:dyDescent="0.25">
      <c r="C15" s="9"/>
      <c r="D15" s="9"/>
      <c r="E15" s="12"/>
      <c r="I15" s="18" t="s">
        <v>40</v>
      </c>
      <c r="J15" s="17">
        <v>1.26</v>
      </c>
      <c r="K15" s="1"/>
      <c r="Q15" s="1"/>
      <c r="R15" s="1"/>
    </row>
    <row r="16" spans="2:26" x14ac:dyDescent="0.25">
      <c r="C16" s="9"/>
      <c r="D16" s="9"/>
      <c r="E16" s="12"/>
      <c r="I16" s="16" t="s">
        <v>13</v>
      </c>
      <c r="J16" s="17">
        <v>2.25</v>
      </c>
      <c r="K16" s="1"/>
      <c r="Q16" s="1"/>
      <c r="R16" s="1"/>
    </row>
    <row r="17" spans="3:18" x14ac:dyDescent="0.25">
      <c r="C17" s="9"/>
      <c r="D17" s="9"/>
      <c r="E17" s="12"/>
      <c r="I17" s="15"/>
      <c r="J17" s="15"/>
      <c r="K17" s="1"/>
      <c r="Q17" s="1"/>
      <c r="R17" s="1"/>
    </row>
    <row r="18" spans="3:18" x14ac:dyDescent="0.25">
      <c r="C18" s="9"/>
      <c r="D18" s="9"/>
      <c r="E18" s="12"/>
      <c r="I18" s="19" t="s">
        <v>32</v>
      </c>
      <c r="J18" s="19"/>
      <c r="K18" s="1"/>
      <c r="Q18" s="1"/>
      <c r="R18" s="1"/>
    </row>
    <row r="19" spans="3:18" x14ac:dyDescent="0.25">
      <c r="C19" s="9"/>
      <c r="D19" s="9"/>
      <c r="E19" s="12"/>
      <c r="I19" s="16" t="s">
        <v>15</v>
      </c>
      <c r="J19" s="17">
        <v>1</v>
      </c>
      <c r="K19" s="1"/>
      <c r="Q19" s="1"/>
      <c r="R19" s="1"/>
    </row>
    <row r="20" spans="3:18" x14ac:dyDescent="0.25">
      <c r="C20" s="9"/>
      <c r="D20" s="9"/>
      <c r="E20" s="12"/>
      <c r="I20" s="16" t="s">
        <v>16</v>
      </c>
      <c r="J20" s="17">
        <v>0.70699999999999996</v>
      </c>
      <c r="K20" s="4"/>
      <c r="Q20" s="1"/>
      <c r="R20" s="1"/>
    </row>
    <row r="21" spans="3:18" x14ac:dyDescent="0.25">
      <c r="C21" s="9"/>
      <c r="D21" s="9"/>
      <c r="E21" s="12"/>
      <c r="I21" s="16" t="s">
        <v>17</v>
      </c>
      <c r="J21" s="17">
        <v>0.5</v>
      </c>
      <c r="K21" s="4"/>
      <c r="Q21" s="1"/>
      <c r="R21" s="1"/>
    </row>
    <row r="22" spans="3:18" x14ac:dyDescent="0.25">
      <c r="C22" s="9"/>
      <c r="D22" s="9"/>
      <c r="E22" s="12"/>
      <c r="I22" s="16" t="s">
        <v>13</v>
      </c>
      <c r="J22" s="17">
        <v>1</v>
      </c>
      <c r="K22" s="1"/>
      <c r="Q22" s="1"/>
      <c r="R22" s="1"/>
    </row>
    <row r="23" spans="3:18" x14ac:dyDescent="0.25">
      <c r="C23" s="9"/>
      <c r="D23" s="9"/>
      <c r="E23" s="12"/>
      <c r="K23" s="1"/>
      <c r="Q23" s="1"/>
      <c r="R23" s="1"/>
    </row>
    <row r="24" spans="3:18" x14ac:dyDescent="0.25">
      <c r="C24" s="9"/>
      <c r="D24" s="9"/>
      <c r="E24" s="12"/>
      <c r="K24" s="1"/>
      <c r="Q24" s="1"/>
      <c r="R24" s="1"/>
    </row>
    <row r="25" spans="3:18" x14ac:dyDescent="0.25">
      <c r="C25" s="9"/>
      <c r="D25" s="9"/>
      <c r="E25" s="12"/>
      <c r="K25" s="1"/>
      <c r="Q25" s="1"/>
      <c r="R25" s="1"/>
    </row>
    <row r="26" spans="3:18" x14ac:dyDescent="0.25">
      <c r="C26" s="9"/>
      <c r="D26" s="9"/>
      <c r="E26" s="12"/>
      <c r="K26" s="1"/>
      <c r="Q26" s="1"/>
      <c r="R26" s="1"/>
    </row>
    <row r="27" spans="3:18" x14ac:dyDescent="0.25">
      <c r="C27" s="9"/>
      <c r="D27" s="9"/>
      <c r="E27" s="12"/>
      <c r="K27" s="1"/>
      <c r="Q27" s="1"/>
      <c r="R27" s="1"/>
    </row>
    <row r="28" spans="3:18" x14ac:dyDescent="0.25">
      <c r="C28" s="9"/>
      <c r="D28" s="9"/>
      <c r="E28" s="12"/>
      <c r="K28" s="14"/>
      <c r="Q28" s="1"/>
      <c r="R28" s="1"/>
    </row>
    <row r="29" spans="3:18" x14ac:dyDescent="0.25">
      <c r="C29" s="9"/>
      <c r="D29" s="9"/>
      <c r="E29" s="12"/>
      <c r="K29" s="1"/>
      <c r="Q29" s="1"/>
      <c r="R29" s="1"/>
    </row>
    <row r="30" spans="3:18" x14ac:dyDescent="0.25">
      <c r="C30" s="9"/>
      <c r="D30" s="9"/>
      <c r="E30" s="12"/>
      <c r="I30" s="5"/>
      <c r="K30" s="1"/>
      <c r="Q30" s="1"/>
      <c r="R30" s="1"/>
    </row>
    <row r="31" spans="3:18" x14ac:dyDescent="0.25">
      <c r="C31" s="9"/>
      <c r="D31" s="9"/>
      <c r="E31" s="12"/>
      <c r="K31" s="1"/>
      <c r="Q31" s="1"/>
      <c r="R31" s="1"/>
    </row>
    <row r="32" spans="3:18" x14ac:dyDescent="0.25">
      <c r="C32" s="9"/>
      <c r="D32" s="9"/>
      <c r="E32" s="12"/>
      <c r="K32" s="1"/>
      <c r="Q32" s="1"/>
      <c r="R32" s="1"/>
    </row>
    <row r="33" spans="3:18" x14ac:dyDescent="0.25">
      <c r="C33" s="9"/>
      <c r="D33" s="9"/>
      <c r="E33" s="12"/>
      <c r="K33" s="1"/>
      <c r="Q33" s="1"/>
      <c r="R33" s="1"/>
    </row>
    <row r="34" spans="3:18" x14ac:dyDescent="0.25">
      <c r="C34" s="9"/>
      <c r="D34" s="9"/>
      <c r="E34" s="12"/>
      <c r="K34" s="1"/>
      <c r="Q34" s="1"/>
      <c r="R34" s="1"/>
    </row>
    <row r="35" spans="3:18" x14ac:dyDescent="0.25">
      <c r="C35" s="9"/>
      <c r="D35" s="9"/>
      <c r="E35" s="12"/>
      <c r="K35" s="1"/>
      <c r="Q35" s="1"/>
      <c r="R35" s="1"/>
    </row>
    <row r="36" spans="3:18" x14ac:dyDescent="0.25">
      <c r="C36" s="9"/>
      <c r="D36" s="9"/>
      <c r="E36" s="12"/>
      <c r="K36" s="1"/>
      <c r="Q36" s="1"/>
      <c r="R36" s="1"/>
    </row>
    <row r="37" spans="3:18" x14ac:dyDescent="0.25">
      <c r="C37" s="9"/>
      <c r="D37" s="9"/>
      <c r="E37" s="12"/>
      <c r="K37" s="1"/>
      <c r="Q37" s="1"/>
      <c r="R37" s="1"/>
    </row>
    <row r="38" spans="3:18" x14ac:dyDescent="0.25">
      <c r="C38" s="9"/>
      <c r="D38" s="9"/>
      <c r="E38" s="12"/>
      <c r="K38" s="1"/>
      <c r="Q38" s="1"/>
      <c r="R38" s="1"/>
    </row>
    <row r="39" spans="3:18" x14ac:dyDescent="0.25">
      <c r="C39" s="9"/>
      <c r="D39" s="9"/>
      <c r="E39" s="12"/>
      <c r="K39" s="1"/>
      <c r="Q39" s="1"/>
      <c r="R39" s="1"/>
    </row>
    <row r="40" spans="3:18" x14ac:dyDescent="0.25">
      <c r="C40" s="9"/>
      <c r="D40" s="9"/>
      <c r="E40" s="12"/>
      <c r="K40" s="1"/>
      <c r="Q40" s="1"/>
      <c r="R40" s="1"/>
    </row>
    <row r="41" spans="3:18" x14ac:dyDescent="0.25">
      <c r="C41" s="9"/>
      <c r="D41" s="9"/>
      <c r="E41" s="12"/>
      <c r="K41" s="1"/>
      <c r="Q41" s="1"/>
      <c r="R41" s="1"/>
    </row>
    <row r="42" spans="3:18" x14ac:dyDescent="0.25">
      <c r="C42" s="9"/>
      <c r="D42" s="9"/>
      <c r="E42" s="12"/>
      <c r="K42" s="1"/>
      <c r="Q42" s="1"/>
      <c r="R42" s="1"/>
    </row>
    <row r="43" spans="3:18" x14ac:dyDescent="0.25">
      <c r="C43" s="9"/>
      <c r="D43" s="9"/>
      <c r="E43" s="12"/>
      <c r="K43" s="1"/>
      <c r="Q43" s="1"/>
      <c r="R43" s="1"/>
    </row>
    <row r="44" spans="3:18" x14ac:dyDescent="0.25">
      <c r="C44" s="9"/>
      <c r="D44" s="9"/>
      <c r="E44" s="12"/>
      <c r="K44" s="1"/>
      <c r="Q44" s="1"/>
      <c r="R44" s="1"/>
    </row>
    <row r="45" spans="3:18" x14ac:dyDescent="0.25">
      <c r="C45" s="9"/>
      <c r="D45" s="9"/>
      <c r="E45" s="12"/>
      <c r="K45" s="1"/>
      <c r="Q45" s="1"/>
      <c r="R45" s="1"/>
    </row>
    <row r="46" spans="3:18" x14ac:dyDescent="0.25">
      <c r="C46" s="9"/>
      <c r="D46" s="9"/>
      <c r="E46" s="12"/>
      <c r="K46" s="1"/>
      <c r="Q46" s="1"/>
      <c r="R46" s="1"/>
    </row>
    <row r="47" spans="3:18" x14ac:dyDescent="0.25">
      <c r="C47" s="9"/>
      <c r="D47" s="9"/>
      <c r="E47" s="12"/>
      <c r="K47" s="1"/>
      <c r="Q47" s="1"/>
      <c r="R47" s="1"/>
    </row>
    <row r="48" spans="3:18" x14ac:dyDescent="0.25">
      <c r="C48" s="9"/>
      <c r="D48" s="9"/>
      <c r="E48" s="12"/>
      <c r="K48" s="1"/>
      <c r="Q48" s="1"/>
      <c r="R48" s="1"/>
    </row>
    <row r="49" spans="3:18" x14ac:dyDescent="0.25">
      <c r="C49" s="9"/>
      <c r="D49" s="9"/>
      <c r="E49" s="12"/>
      <c r="K49" s="1"/>
      <c r="Q49" s="1"/>
      <c r="R49" s="1"/>
    </row>
    <row r="50" spans="3:18" x14ac:dyDescent="0.25">
      <c r="C50" s="9"/>
      <c r="D50" s="9"/>
      <c r="E50" s="12"/>
      <c r="K50" s="1"/>
      <c r="Q50" s="1"/>
      <c r="R50" s="1"/>
    </row>
    <row r="51" spans="3:18" x14ac:dyDescent="0.25">
      <c r="C51" s="9"/>
      <c r="D51" s="9"/>
      <c r="E51" s="12"/>
      <c r="K51" s="1"/>
      <c r="Q51" s="1"/>
      <c r="R51" s="1"/>
    </row>
  </sheetData>
  <mergeCells count="7">
    <mergeCell ref="I18:J18"/>
    <mergeCell ref="I2:J2"/>
    <mergeCell ref="N3:N7"/>
    <mergeCell ref="I6:J6"/>
    <mergeCell ref="N8:N11"/>
    <mergeCell ref="O8:O9"/>
    <mergeCell ref="O10:O11"/>
  </mergeCells>
  <dataValidations count="2">
    <dataValidation type="list" showInputMessage="1" showErrorMessage="1" errorTitle="Empty Component Cells" error="Please choose a component!" sqref="Q6" xr:uid="{0124C5F1-18F1-420B-9D70-95C88EDF0F25}">
      <formula1>$I$7:$I$16</formula1>
    </dataValidation>
    <dataValidation type="list" allowBlank="1" showInputMessage="1" showErrorMessage="1" sqref="Q7" xr:uid="{A548B1A7-C2B3-47D4-9971-E765055DE192}">
      <formula1>$I$19:$I$22</formula1>
    </dataValidation>
  </dataValidations>
  <pageMargins left="0.7" right="0.7" top="0.75" bottom="0.75" header="0.3" footer="0.3"/>
  <pageSetup paperSize="17" orientation="landscape" r:id="rId1"/>
  <ignoredErrors>
    <ignoredError sqref="Q10" formula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A8F9078FC5549A9D4194914BF487B" ma:contentTypeVersion="14" ma:contentTypeDescription="Create a new document." ma:contentTypeScope="" ma:versionID="acd144cdacf5a59331cebba8cc8a9eff">
  <xsd:schema xmlns:xsd="http://www.w3.org/2001/XMLSchema" xmlns:xs="http://www.w3.org/2001/XMLSchema" xmlns:p="http://schemas.microsoft.com/office/2006/metadata/properties" xmlns:ns2="8a666189-ceb3-473e-bcf0-0e470cd90409" xmlns:ns3="8ec0556b-bc0b-4a5d-a200-a8d74fbb61a7" targetNamespace="http://schemas.microsoft.com/office/2006/metadata/properties" ma:root="true" ma:fieldsID="ed63b4e6b2943b307e950db1b5d7da69" ns2:_="" ns3:_="">
    <xsd:import namespace="8a666189-ceb3-473e-bcf0-0e470cd90409"/>
    <xsd:import namespace="8ec0556b-bc0b-4a5d-a200-a8d74fbb61a7"/>
    <xsd:element name="properties">
      <xsd:complexType>
        <xsd:sequence>
          <xsd:element name="documentManagement">
            <xsd:complexType>
              <xsd:all>
                <xsd:element ref="ns2:_x0074_l55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66189-ceb3-473e-bcf0-0e470cd90409" elementFormDefault="qualified">
    <xsd:import namespace="http://schemas.microsoft.com/office/2006/documentManagement/types"/>
    <xsd:import namespace="http://schemas.microsoft.com/office/infopath/2007/PartnerControls"/>
    <xsd:element name="_x0074_l55" ma:index="8" nillable="true" ma:displayName="Person or Group" ma:list="UserInfo" ma:internalName="_x0074_l55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556b-bc0b-4a5d-a200-a8d74fbb61a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4_l55 xmlns="8a666189-ceb3-473e-bcf0-0e470cd90409">
      <UserInfo>
        <DisplayName/>
        <AccountId xsi:nil="true"/>
        <AccountType/>
      </UserInfo>
    </_x0074_l55>
  </documentManagement>
</p:properties>
</file>

<file path=customXml/item4.xml>��
</file>

<file path=customXml/itemProps1.xml><?xml version="1.0" encoding="utf-8"?>
<ds:datastoreItem xmlns:ds="http://schemas.openxmlformats.org/officeDocument/2006/customXml" ds:itemID="{7861E38B-C452-47F9-94F1-4368BE91B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66189-ceb3-473e-bcf0-0e470cd90409"/>
    <ds:schemaRef ds:uri="8ec0556b-bc0b-4a5d-a200-a8d74fbb61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7D241C-BD4F-4BF3-8BB5-4F9CC94BBB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56D1B-9BA4-45D0-838F-EF5965C31F16}">
  <ds:schemaRefs>
    <ds:schemaRef ds:uri="http://schemas.microsoft.com/office/2006/metadata/properties"/>
    <ds:schemaRef ds:uri="http://schemas.microsoft.com/office/infopath/2007/PartnerControls"/>
    <ds:schemaRef ds:uri="8a666189-ceb3-473e-bcf0-0e470cd90409"/>
  </ds:schemaRefs>
</ds:datastoreItem>
</file>

<file path=customXml/itemProps4.xml><?xml version="1.0" encoding="utf-8"?>
<ds:datastoreItem xmlns:ds="http://schemas.openxmlformats.org/officeDocument/2006/customXml" ds:itemID="{8EF50C8D-AB01-4F25-A8C2-BD2FA0FDB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 1</vt:lpstr>
      <vt:lpstr>Component 2</vt:lpstr>
      <vt:lpstr>Component 3</vt:lpstr>
      <vt:lpstr>Component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Azarnoush</dc:creator>
  <cp:lastModifiedBy>Aiden Azarnoush</cp:lastModifiedBy>
  <dcterms:created xsi:type="dcterms:W3CDTF">2022-02-04T14:58:48Z</dcterms:created>
  <dcterms:modified xsi:type="dcterms:W3CDTF">2022-02-16T16:37:53Z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0x01010083FA8F9078FC5549A9D4194914BF487B</vt:lpwstr>
  </property>
</Properties>
</file>